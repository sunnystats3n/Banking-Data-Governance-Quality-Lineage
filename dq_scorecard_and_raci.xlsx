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7b4834aae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corecard" sheetId="1" r:id="R2744d896bca54b9d"/>
    <x:sheet xmlns:r="http://schemas.openxmlformats.org/officeDocument/2006/relationships" name="DQ Test Results" sheetId="2" r:id="R234b6e9109f746db"/>
    <x:sheet xmlns:r="http://schemas.openxmlformats.org/officeDocument/2006/relationships" name="SQL Evidence" sheetId="3" r:id="Rc8cf8a64dc2c4ba2"/>
    <x:sheet xmlns:r="http://schemas.openxmlformats.org/officeDocument/2006/relationships" name="Stewardship RACI" sheetId="4" r:id="R1c8fe25d96bc4642"/>
    <x:sheet xmlns:r="http://schemas.openxmlformats.org/officeDocument/2006/relationships" name="Data Dictionary" sheetId="5" r:id="R98eb91cb1402406c"/>
    <x:sheet xmlns:r="http://schemas.openxmlformats.org/officeDocument/2006/relationships" name="Purview Design Model" sheetId="6" r:id="R6a499c3dca18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595959"/>
      <x:name val="Carlito"/>
    </x:font>
    <x:font>
      <x:b/>
      <x:sz val="15"/>
      <x:color rgb="FFFFFFFF"/>
      <x:name val="Carlito"/>
    </x:font>
    <x:font>
      <x:b/>
      <x:sz val="11"/>
      <x:color rgb="FFC55A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C00000"/>
      </x:font>
      <x:fill>
        <x:patternFill patternType="solid">
          <x:bgColor rgb="FFFDE9E7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DE9E7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55A11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0F766E"/>
      </x:font>
      <x:fill>
        <x:patternFill patternType="solid">
          <x:bgColor rgb="FFDFF3EF"/>
        </x:patternFill>
      </x:fill>
    </x:dxf>
    <x:dxf>
      <x:font>
        <x:color rgb="FF595959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bfb37cf1e46e7" /><Relationship Type="http://schemas.openxmlformats.org/officeDocument/2006/relationships/theme" Target="/xl/theme/theme1.xml" Id="R08a19366746047ee" /><Relationship Type="http://schemas.openxmlformats.org/officeDocument/2006/relationships/sharedStrings" Target="/xl/sharedStrings.xml" Id="Rb696c3f3d40a4496" /><Relationship Type="http://schemas.openxmlformats.org/officeDocument/2006/relationships/worksheet" Target="/xl/worksheets/sheet1.xml" Id="R2744d896bca54b9d" /><Relationship Type="http://schemas.openxmlformats.org/officeDocument/2006/relationships/worksheet" Target="/xl/worksheets/sheet2.xml" Id="R234b6e9109f746db" /><Relationship Type="http://schemas.openxmlformats.org/officeDocument/2006/relationships/worksheet" Target="/xl/worksheets/sheet3.xml" Id="Rc8cf8a64dc2c4ba2" /><Relationship Type="http://schemas.openxmlformats.org/officeDocument/2006/relationships/worksheet" Target="/xl/worksheets/sheet4.xml" Id="R1c8fe25d96bc4642" /><Relationship Type="http://schemas.openxmlformats.org/officeDocument/2006/relationships/worksheet" Target="/xl/worksheets/sheet5.xml" Id="R98eb91cb1402406c" /><Relationship Type="http://schemas.openxmlformats.org/officeDocument/2006/relationships/worksheet" Target="/xl/worksheets/sheet6.xml" Id="R6a499c3dca184d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6" hidden="0" customWidth="1"/>
    <x:col min="4" max="4" width="11" hidden="0" customWidth="1"/>
    <x:col min="5" max="5" width="11" hidden="0" customWidth="1"/>
    <x:col min="6" max="6" width="55" hidden="0" customWidth="1"/>
    <x:col min="7" max="7" width="12" hidden="0" customWidth="1"/>
    <x:col min="8" max="8" width="12" hidden="0" customWidth="1"/>
    <x:col min="9" max="9" width="48" hidden="0" customWidth="1"/>
    <x:col min="10" max="10" width="30" hidden="0" customWidth="1"/>
  </x:cols>
  <x:sheetData>
    <x:row r="1" ht="28" customHeight="1">
      <x:c r="A1" s="5" t="str">
        <x:v>BANKING DATA GOVERNANCE — DATA QUALITY SCORECARD</x:v>
      </x:c>
    </x:row>
    <x:row r="2" ht="28" customHeight="1">
      <x:c r="A2" s="12" t="str">
        <x:v>DESIGN / PRACTICE ARTIFACT — 21 SQL controls executed against the supplied synthetic CSVs. Thresholds are illustrative sandbox thresholds and must be approved by a business/data owner in a real organization.</x:v>
      </x:c>
    </x:row>
    <x:row r="3" ht="20" customHeight="1"/>
    <x:row r="4" ht="20" customHeight="1">
      <x:c r="A4" s="17" t="str">
        <x:v>Assessment Timestamp</x:v>
      </x:c>
      <x:c r="B4" s="17" t="str">
        <x:v>2026-10-02 12:00:00</x:v>
      </x:c>
      <x:c r="D4" s="17" t="str">
        <x:v>Controls Tested</x:v>
      </x:c>
      <x:c r="E4" s="17" t="n">
        <x:v>21</x:v>
      </x:c>
      <x:c r="G4" s="17" t="str">
        <x:v>Tests Passed</x:v>
      </x:c>
      <x:c r="H4" s="17" t="n">
        <x:v>4</x:v>
      </x:c>
      <x:c r="I4" s="17" t="str">
        <x:v>Tests Failed</x:v>
      </x:c>
      <x:c r="J4" s="17" t="n">
        <x:v>17</x:v>
      </x:c>
    </x:row>
    <x:row r="5" ht="20" customHeight="1"/>
    <x:row r="6" ht="20" customHeight="1"/>
    <x:row r="7" ht="20" customHeight="1">
      <x:c r="A7" s="23" t="str">
        <x:v>Control ID</x:v>
      </x:c>
      <x:c r="B7" s="23" t="str">
        <x:v>Dimension</x:v>
      </x:c>
      <x:c r="C7" s="23" t="str">
        <x:v>Data element / rule</x:v>
      </x:c>
      <x:c r="D7" s="23" t="str">
        <x:v>Exceptions</x:v>
      </x:c>
      <x:c r="E7" s="23" t="str">
        <x:v>Population</x:v>
      </x:c>
      <x:c r="F7" s="23" t="str">
        <x:v>DQ rate</x:v>
      </x:c>
      <x:c r="G7" s="23" t="str">
        <x:v>Threshold</x:v>
      </x:c>
      <x:c r="H7" s="23" t="str">
        <x:v>Status</x:v>
      </x:c>
      <x:c r="I7" s="23" t="str">
        <x:v>Evidence / interpretation</x:v>
      </x:c>
      <x:c r="J7" s="23" t="str">
        <x:v>Action</x:v>
      </x:c>
    </x:row>
    <x:row r="8" ht="30" customHeight="1">
      <x:c r="A8" s="30" t="str">
        <x:v>DQ-001A</x:v>
      </x:c>
      <x:c r="B8" s="30" t="str">
        <x:v>Completeness</x:v>
      </x:c>
      <x:c r="C8" s="30" t="str">
        <x:v>customers.customer_id</x:v>
      </x:c>
      <x:c r="D8" s="30" t="n">
        <x:v>0</x:v>
      </x:c>
      <x:c r="E8" s="30" t="n">
        <x:v>200</x:v>
      </x:c>
      <x:c r="F8" s="31" t="n">
        <x:f>1-(D8/E8)</x:f>
        <x:v>1</x:v>
      </x:c>
      <x:c r="G8" s="31" t="n">
        <x:v>1</x:v>
      </x:c>
      <x:c r="H8" s="30" t="str">
        <x:f>IF(F8&gt;=G8,"PASS","FAIL")</x:f>
        <x:v>PASS</x:v>
      </x:c>
      <x:c r="I8" s="30" t="str">
        <x:v>200 rows; 100.00% complete</x:v>
      </x:c>
      <x:c r="J8" s="30" t="str">
        <x:v>No exception detected in this test</x:v>
      </x:c>
    </x:row>
    <x:row r="9" ht="30" customHeight="1">
      <x:c r="A9" s="30" t="str">
        <x:v>DQ-001B</x:v>
      </x:c>
      <x:c r="B9" s="30" t="str">
        <x:v>Completeness</x:v>
      </x:c>
      <x:c r="C9" s="30" t="str">
        <x:v>customers.postal_code</x:v>
      </x:c>
      <x:c r="D9" s="30" t="n">
        <x:v>2</x:v>
      </x:c>
      <x:c r="E9" s="30" t="n">
        <x:v>200</x:v>
      </x:c>
      <x:c r="F9" s="31" t="n">
        <x:f>1-(D9/E9)</x:f>
        <x:v>0.99</x:v>
      </x:c>
      <x:c r="G9" s="31" t="n">
        <x:v>1</x:v>
      </x:c>
      <x:c r="H9" s="30" t="str">
        <x:f>IF(F9&gt;=G9,"PASS","FAIL")</x:f>
        <x:v>FAIL</x:v>
      </x:c>
      <x:c r="I9" s="30" t="str">
        <x:v>200 rows; 99.00% complete</x:v>
      </x:c>
      <x:c r="J9" s="30" t="str">
        <x:v>Investigate / remediate if failed</x:v>
      </x:c>
    </x:row>
    <x:row r="10" ht="30" customHeight="1">
      <x:c r="A10" s="30" t="str">
        <x:v>DQ-001C</x:v>
      </x:c>
      <x:c r="B10" s="30" t="str">
        <x:v>Completeness</x:v>
      </x:c>
      <x:c r="C10" s="30" t="str">
        <x:v>accounts.customer_id</x:v>
      </x:c>
      <x:c r="D10" s="30" t="n">
        <x:v>1</x:v>
      </x:c>
      <x:c r="E10" s="30" t="n">
        <x:v>400</x:v>
      </x:c>
      <x:c r="F10" s="31" t="n">
        <x:f>1-(D10/E10)</x:f>
        <x:v>0.9975</x:v>
      </x:c>
      <x:c r="G10" s="31" t="n">
        <x:v>1</x:v>
      </x:c>
      <x:c r="H10" s="30" t="str">
        <x:f>IF(F10&gt;=G10,"PASS","FAIL")</x:f>
        <x:v>FAIL</x:v>
      </x:c>
      <x:c r="I10" s="30" t="str">
        <x:v>400 rows; 99.75% complete</x:v>
      </x:c>
      <x:c r="J10" s="30" t="str">
        <x:v>Investigate / remediate if failed</x:v>
      </x:c>
    </x:row>
    <x:row r="11" ht="30" customHeight="1">
      <x:c r="A11" s="30" t="str">
        <x:v>DQ-001D</x:v>
      </x:c>
      <x:c r="B11" s="30" t="str">
        <x:v>Completeness</x:v>
      </x:c>
      <x:c r="C11" s="30" t="str">
        <x:v>accounts.account_type</x:v>
      </x:c>
      <x:c r="D11" s="30" t="n">
        <x:v>1</x:v>
      </x:c>
      <x:c r="E11" s="30" t="n">
        <x:v>400</x:v>
      </x:c>
      <x:c r="F11" s="31" t="n">
        <x:f>1-(D11/E11)</x:f>
        <x:v>0.9975</x:v>
      </x:c>
      <x:c r="G11" s="31" t="n">
        <x:v>1</x:v>
      </x:c>
      <x:c r="H11" s="30" t="str">
        <x:f>IF(F11&gt;=G11,"PASS","FAIL")</x:f>
        <x:v>FAIL</x:v>
      </x:c>
      <x:c r="I11" s="30" t="str">
        <x:v>400 rows; 99.75% complete</x:v>
      </x:c>
      <x:c r="J11" s="30" t="str">
        <x:v>Investigate / remediate if failed</x:v>
      </x:c>
    </x:row>
    <x:row r="12" ht="30" customHeight="1">
      <x:c r="A12" s="30" t="str">
        <x:v>DQ-001E</x:v>
      </x:c>
      <x:c r="B12" s="30" t="str">
        <x:v>Completeness</x:v>
      </x:c>
      <x:c r="C12" s="30" t="str">
        <x:v>transactions.currency</x:v>
      </x:c>
      <x:c r="D12" s="30" t="n">
        <x:v>1</x:v>
      </x:c>
      <x:c r="E12" s="30" t="n">
        <x:v>1200</x:v>
      </x:c>
      <x:c r="F12" s="31" t="n">
        <x:f>1-(D12/E12)</x:f>
        <x:v>0.9991666666666666</x:v>
      </x:c>
      <x:c r="G12" s="31" t="n">
        <x:v>1</x:v>
      </x:c>
      <x:c r="H12" s="30" t="str">
        <x:f>IF(F12&gt;=G12,"PASS","FAIL")</x:f>
        <x:v>FAIL</x:v>
      </x:c>
      <x:c r="I12" s="30" t="str">
        <x:v>1,200 rows; 99.9167% complete</x:v>
      </x:c>
      <x:c r="J12" s="30" t="str">
        <x:v>Investigate / remediate if failed</x:v>
      </x:c>
    </x:row>
    <x:row r="13" ht="30" customHeight="1">
      <x:c r="A13" s="30" t="str">
        <x:v>DQ-002A</x:v>
      </x:c>
      <x:c r="B13" s="30" t="str">
        <x:v>Uniqueness</x:v>
      </x:c>
      <x:c r="C13" s="30" t="str">
        <x:v>customers.customer_id</x:v>
      </x:c>
      <x:c r="D13" s="30" t="n">
        <x:v>1</x:v>
      </x:c>
      <x:c r="E13" s="30" t="n">
        <x:v>200</x:v>
      </x:c>
      <x:c r="F13" s="31" t="n">
        <x:f>1-(D13/E13)</x:f>
        <x:v>0.995</x:v>
      </x:c>
      <x:c r="G13" s="31" t="n">
        <x:v>1</x:v>
      </x:c>
      <x:c r="H13" s="30" t="str">
        <x:f>IF(F13&gt;=G13,"PASS","FAIL")</x:f>
        <x:v>FAIL</x:v>
      </x:c>
      <x:c r="I13" s="30" t="str">
        <x:v>199 distinct IDs / 200 rows = 99.50% unique</x:v>
      </x:c>
      <x:c r="J13" s="30" t="str">
        <x:v>Investigate / remediate if failed</x:v>
      </x:c>
    </x:row>
    <x:row r="14" ht="30" customHeight="1">
      <x:c r="A14" s="30" t="str">
        <x:v>DQ-002B</x:v>
      </x:c>
      <x:c r="B14" s="30" t="str">
        <x:v>Uniqueness</x:v>
      </x:c>
      <x:c r="C14" s="30" t="str">
        <x:v>accounts.account_id</x:v>
      </x:c>
      <x:c r="D14" s="30" t="n">
        <x:v>0</x:v>
      </x:c>
      <x:c r="E14" s="30" t="n">
        <x:v>400</x:v>
      </x:c>
      <x:c r="F14" s="31" t="n">
        <x:f>1-(D14/E14)</x:f>
        <x:v>1</x:v>
      </x:c>
      <x:c r="G14" s="31" t="n">
        <x:v>1</x:v>
      </x:c>
      <x:c r="H14" s="30" t="str">
        <x:f>IF(F14&gt;=G14,"PASS","FAIL")</x:f>
        <x:v>PASS</x:v>
      </x:c>
      <x:c r="I14" s="30" t="str">
        <x:v>400 distinct IDs / 400 rows = 100.00% unique</x:v>
      </x:c>
      <x:c r="J14" s="30" t="str">
        <x:v>No exception detected in this test</x:v>
      </x:c>
    </x:row>
    <x:row r="15" ht="30" customHeight="1">
      <x:c r="A15" s="30" t="str">
        <x:v>DQ-002C</x:v>
      </x:c>
      <x:c r="B15" s="30" t="str">
        <x:v>Uniqueness</x:v>
      </x:c>
      <x:c r="C15" s="30" t="str">
        <x:v>transactions.transaction_id</x:v>
      </x:c>
      <x:c r="D15" s="30" t="n">
        <x:v>1</x:v>
      </x:c>
      <x:c r="E15" s="30" t="n">
        <x:v>1200</x:v>
      </x:c>
      <x:c r="F15" s="31" t="n">
        <x:f>1-(D15/E15)</x:f>
        <x:v>0.9991666666666666</x:v>
      </x:c>
      <x:c r="G15" s="31" t="n">
        <x:v>1</x:v>
      </x:c>
      <x:c r="H15" s="30" t="str">
        <x:f>IF(F15&gt;=G15,"PASS","FAIL")</x:f>
        <x:v>FAIL</x:v>
      </x:c>
      <x:c r="I15" s="30" t="str">
        <x:v>1,199 distinct IDs / 1,200 rows = 99.9167% unique</x:v>
      </x:c>
      <x:c r="J15" s="30" t="str">
        <x:v>Investigate / remediate if failed</x:v>
      </x:c>
    </x:row>
    <x:row r="16" ht="30" customHeight="1">
      <x:c r="A16" s="30" t="str">
        <x:v>DQ-002D</x:v>
      </x:c>
      <x:c r="B16" s="30" t="str">
        <x:v>Uniqueness</x:v>
      </x:c>
      <x:c r="C16" s="30" t="str">
        <x:v>branches.branch_id</x:v>
      </x:c>
      <x:c r="D16" s="30" t="n">
        <x:v>0</x:v>
      </x:c>
      <x:c r="E16" s="30" t="n">
        <x:v>20</x:v>
      </x:c>
      <x:c r="F16" s="31" t="n">
        <x:f>1-(D16/E16)</x:f>
        <x:v>1</x:v>
      </x:c>
      <x:c r="G16" s="31" t="n">
        <x:v>1</x:v>
      </x:c>
      <x:c r="H16" s="30" t="str">
        <x:f>IF(F16&gt;=G16,"PASS","FAIL")</x:f>
        <x:v>PASS</x:v>
      </x:c>
      <x:c r="I16" s="30" t="str">
        <x:v>20 distinct IDs / 20 rows = 100.00% unique</x:v>
      </x:c>
      <x:c r="J16" s="30" t="str">
        <x:v>No exception detected in this test</x:v>
      </x:c>
    </x:row>
    <x:row r="17" ht="30" customHeight="1">
      <x:c r="A17" s="30" t="str">
        <x:v>DQ-003A</x:v>
      </x:c>
      <x:c r="B17" s="30" t="str">
        <x:v>Validity</x:v>
      </x:c>
      <x:c r="C17" s="30" t="str">
        <x:v>customers.customer_status</x:v>
      </x:c>
      <x:c r="D17" s="30" t="n">
        <x:v>1</x:v>
      </x:c>
      <x:c r="E17" s="30" t="n">
        <x:v>200</x:v>
      </x:c>
      <x:c r="F17" s="31" t="n">
        <x:f>1-(D17/E17)</x:f>
        <x:v>0.995</x:v>
      </x:c>
      <x:c r="G17" s="31" t="n">
        <x:v>1</x:v>
      </x:c>
      <x:c r="H17" s="30" t="str">
        <x:f>IF(F17&gt;=G17,"PASS","FAIL")</x:f>
        <x:v>FAIL</x:v>
      </x:c>
      <x:c r="I17" s="30" t="str">
        <x:v>1 invalid value / 200 rows</x:v>
      </x:c>
      <x:c r="J17" s="30" t="str">
        <x:v>Investigate / remediate if failed</x:v>
      </x:c>
    </x:row>
    <x:row r="18" ht="30" customHeight="1">
      <x:c r="A18" s="30" t="str">
        <x:v>DQ-003B</x:v>
      </x:c>
      <x:c r="B18" s="30" t="str">
        <x:v>Validity</x:v>
      </x:c>
      <x:c r="C18" s="30" t="str">
        <x:v>customers.date_of_birth</x:v>
      </x:c>
      <x:c r="D18" s="30" t="n">
        <x:v>1</x:v>
      </x:c>
      <x:c r="E18" s="30" t="n">
        <x:v>200</x:v>
      </x:c>
      <x:c r="F18" s="31" t="n">
        <x:f>1-(D18/E18)</x:f>
        <x:v>0.995</x:v>
      </x:c>
      <x:c r="G18" s="31" t="n">
        <x:v>1</x:v>
      </x:c>
      <x:c r="H18" s="30" t="str">
        <x:f>IF(F18&gt;=G18,"PASS","FAIL")</x:f>
        <x:v>FAIL</x:v>
      </x:c>
      <x:c r="I18" s="30" t="str">
        <x:v>1 future DOB / 200 rows</x:v>
      </x:c>
      <x:c r="J18" s="30" t="str">
        <x:v>Investigate / remediate if failed</x:v>
      </x:c>
    </x:row>
    <x:row r="19" ht="30" customHeight="1">
      <x:c r="A19" s="30" t="str">
        <x:v>DQ-003C</x:v>
      </x:c>
      <x:c r="B19" s="30" t="str">
        <x:v>Validity</x:v>
      </x:c>
      <x:c r="C19" s="30" t="str">
        <x:v>accounts.account_status</x:v>
      </x:c>
      <x:c r="D19" s="30" t="n">
        <x:v>1</x:v>
      </x:c>
      <x:c r="E19" s="30" t="n">
        <x:v>400</x:v>
      </x:c>
      <x:c r="F19" s="31" t="n">
        <x:f>1-(D19/E19)</x:f>
        <x:v>0.9975</x:v>
      </x:c>
      <x:c r="G19" s="31" t="n">
        <x:v>1</x:v>
      </x:c>
      <x:c r="H19" s="30" t="str">
        <x:f>IF(F19&gt;=G19,"PASS","FAIL")</x:f>
        <x:v>FAIL</x:v>
      </x:c>
      <x:c r="I19" s="30" t="str">
        <x:v>1 invalid value / 400 rows</x:v>
      </x:c>
      <x:c r="J19" s="30" t="str">
        <x:v>Investigate / remediate if failed</x:v>
      </x:c>
    </x:row>
    <x:row r="20" ht="30" customHeight="1">
      <x:c r="A20" s="30" t="str">
        <x:v>DQ-003D</x:v>
      </x:c>
      <x:c r="B20" s="30" t="str">
        <x:v>Validity</x:v>
      </x:c>
      <x:c r="C20" s="30" t="str">
        <x:v>transactions.transaction_type</x:v>
      </x:c>
      <x:c r="D20" s="30" t="n">
        <x:v>1</x:v>
      </x:c>
      <x:c r="E20" s="30" t="n">
        <x:v>1200</x:v>
      </x:c>
      <x:c r="F20" s="31" t="n">
        <x:f>1-(D20/E20)</x:f>
        <x:v>0.9991666666666666</x:v>
      </x:c>
      <x:c r="G20" s="31" t="n">
        <x:v>1</x:v>
      </x:c>
      <x:c r="H20" s="30" t="str">
        <x:f>IF(F20&gt;=G20,"PASS","FAIL")</x:f>
        <x:v>FAIL</x:v>
      </x:c>
      <x:c r="I20" s="30" t="str">
        <x:v>1 invalid value / 1,200 rows</x:v>
      </x:c>
      <x:c r="J20" s="30" t="str">
        <x:v>Investigate / remediate if failed</x:v>
      </x:c>
    </x:row>
    <x:row r="21" ht="30" customHeight="1">
      <x:c r="A21" s="30" t="str">
        <x:v>DQ-003E</x:v>
      </x:c>
      <x:c r="B21" s="30" t="str">
        <x:v>Validity</x:v>
      </x:c>
      <x:c r="C21" s="30" t="str">
        <x:v>transactions.amount</x:v>
      </x:c>
      <x:c r="D21" s="30" t="n">
        <x:v>1</x:v>
      </x:c>
      <x:c r="E21" s="30" t="n">
        <x:v>1200</x:v>
      </x:c>
      <x:c r="F21" s="31" t="n">
        <x:f>1-(D21/E21)</x:f>
        <x:v>0.9991666666666666</x:v>
      </x:c>
      <x:c r="G21" s="31" t="n">
        <x:v>1</x:v>
      </x:c>
      <x:c r="H21" s="30" t="str">
        <x:f>IF(F21&gt;=G21,"PASS","FAIL")</x:f>
        <x:v>FAIL</x:v>
      </x:c>
      <x:c r="I21" s="30" t="str">
        <x:v>1 invalid value / 1,200 rows</x:v>
      </x:c>
      <x:c r="J21" s="30" t="str">
        <x:v>Investigate / remediate if failed</x:v>
      </x:c>
    </x:row>
    <x:row r="22" ht="42" customHeight="1">
      <x:c r="A22" s="30" t="str">
        <x:v>DQ-004A</x:v>
      </x:c>
      <x:c r="B22" s="30" t="str">
        <x:v>Referential integrity</x:v>
      </x:c>
      <x:c r="C22" s="30" t="str">
        <x:v>accounts.customer_id → customers.customer_id</x:v>
      </x:c>
      <x:c r="D22" s="30" t="n">
        <x:v>2</x:v>
      </x:c>
      <x:c r="E22" s="30" t="n">
        <x:v>400</x:v>
      </x:c>
      <x:c r="F22" s="31" t="n">
        <x:f>1-(D22/E22)</x:f>
        <x:v>0.995</x:v>
      </x:c>
      <x:c r="G22" s="31" t="n">
        <x:v>1</x:v>
      </x:c>
      <x:c r="H22" s="30" t="str">
        <x:f>IF(F22&gt;=G22,"PASS","FAIL")</x:f>
        <x:v>FAIL</x:v>
      </x:c>
      <x:c r="I22" s="30" t="str">
        <x:v>2 orphan/missing references / 400 accounts</x:v>
      </x:c>
      <x:c r="J22" s="30" t="str">
        <x:v>Investigate / remediate if failed</x:v>
      </x:c>
    </x:row>
    <x:row r="23" ht="42" customHeight="1">
      <x:c r="A23" s="30" t="str">
        <x:v>DQ-004B</x:v>
      </x:c>
      <x:c r="B23" s="30" t="str">
        <x:v>Referential integrity</x:v>
      </x:c>
      <x:c r="C23" s="30" t="str">
        <x:v>accounts.branch_id → branches.branch_id</x:v>
      </x:c>
      <x:c r="D23" s="30" t="n">
        <x:v>1</x:v>
      </x:c>
      <x:c r="E23" s="30" t="n">
        <x:v>400</x:v>
      </x:c>
      <x:c r="F23" s="31" t="n">
        <x:f>1-(D23/E23)</x:f>
        <x:v>0.9975</x:v>
      </x:c>
      <x:c r="G23" s="31" t="n">
        <x:v>1</x:v>
      </x:c>
      <x:c r="H23" s="30" t="str">
        <x:f>IF(F23&gt;=G23,"PASS","FAIL")</x:f>
        <x:v>FAIL</x:v>
      </x:c>
      <x:c r="I23" s="30" t="str">
        <x:v>1 orphan branch reference / 400 accounts</x:v>
      </x:c>
      <x:c r="J23" s="30" t="str">
        <x:v>Investigate / remediate if failed</x:v>
      </x:c>
    </x:row>
    <x:row r="24" ht="42" customHeight="1">
      <x:c r="A24" s="30" t="str">
        <x:v>DQ-004C</x:v>
      </x:c>
      <x:c r="B24" s="30" t="str">
        <x:v>Referential integrity</x:v>
      </x:c>
      <x:c r="C24" s="30" t="str">
        <x:v>transactions.account_id → accounts.account_id</x:v>
      </x:c>
      <x:c r="D24" s="30" t="n">
        <x:v>1</x:v>
      </x:c>
      <x:c r="E24" s="30" t="n">
        <x:v>1200</x:v>
      </x:c>
      <x:c r="F24" s="31" t="n">
        <x:f>1-(D24/E24)</x:f>
        <x:v>0.9991666666666666</x:v>
      </x:c>
      <x:c r="G24" s="31" t="n">
        <x:v>1</x:v>
      </x:c>
      <x:c r="H24" s="30" t="str">
        <x:f>IF(F24&gt;=G24,"PASS","FAIL")</x:f>
        <x:v>FAIL</x:v>
      </x:c>
      <x:c r="I24" s="30" t="str">
        <x:v>1 orphan account reference / 1,200 transactions</x:v>
      </x:c>
      <x:c r="J24" s="30" t="str">
        <x:v>Investigate / remediate if failed</x:v>
      </x:c>
    </x:row>
    <x:row r="25" ht="42" customHeight="1">
      <x:c r="A25" s="30" t="str">
        <x:v>DQ-005A</x:v>
      </x:c>
      <x:c r="B25" s="30" t="str">
        <x:v>Consistency</x:v>
      </x:c>
      <x:c r="C25" s="30" t="str">
        <x:v>transactions.currency vs accounts.currency</x:v>
      </x:c>
      <x:c r="D25" s="30" t="n">
        <x:v>1</x:v>
      </x:c>
      <x:c r="E25" s="30" t="n">
        <x:v>1200</x:v>
      </x:c>
      <x:c r="F25" s="31" t="n">
        <x:f>1-(D25/E25)</x:f>
        <x:v>0.9991666666666666</x:v>
      </x:c>
      <x:c r="G25" s="31" t="n">
        <x:v>1</x:v>
      </x:c>
      <x:c r="H25" s="30" t="str">
        <x:f>IF(F25&gt;=G25,"PASS","FAIL")</x:f>
        <x:v>FAIL</x:v>
      </x:c>
      <x:c r="I25" s="30" t="str">
        <x:v>1 mismatch / 1,200 transactions</x:v>
      </x:c>
      <x:c r="J25" s="30" t="str">
        <x:v>Investigate / remediate if failed</x:v>
      </x:c>
    </x:row>
    <x:row r="26" ht="42" customHeight="1">
      <x:c r="A26" s="30" t="str">
        <x:v>DQ-005B</x:v>
      </x:c>
      <x:c r="B26" s="30" t="str">
        <x:v>Consistency</x:v>
      </x:c>
      <x:c r="C26" s="30" t="str">
        <x:v>accounts.credit_limit applicability</x:v>
      </x:c>
      <x:c r="D26" s="30" t="n">
        <x:v>0</x:v>
      </x:c>
      <x:c r="E26" s="30" t="n">
        <x:v>400</x:v>
      </x:c>
      <x:c r="F26" s="31" t="n">
        <x:f>1-(D26/E26)</x:f>
        <x:v>1</x:v>
      </x:c>
      <x:c r="G26" s="31" t="n">
        <x:v>1</x:v>
      </x:c>
      <x:c r="H26" s="30" t="str">
        <x:f>IF(F26&gt;=G26,"PASS","FAIL")</x:f>
        <x:v>PASS</x:v>
      </x:c>
      <x:c r="I26" s="30" t="str">
        <x:v>All 92 CREDIT_CARD accounts have limits; non-credit-card rows do not.</x:v>
      </x:c>
      <x:c r="J26" s="30" t="str">
        <x:v>No exception detected in this test</x:v>
      </x:c>
    </x:row>
    <x:row r="27" ht="30" customHeight="1">
      <x:c r="A27" s="30" t="str">
        <x:v>DQ-006A</x:v>
      </x:c>
      <x:c r="B27" s="30" t="str">
        <x:v>Timeliness</x:v>
      </x:c>
      <x:c r="C27" s="30" t="str">
        <x:v>customers.last_updated</x:v>
      </x:c>
      <x:c r="D27" s="30" t="n">
        <x:v>126</x:v>
      </x:c>
      <x:c r="E27" s="30" t="n">
        <x:v>200</x:v>
      </x:c>
      <x:c r="F27" s="31" t="n">
        <x:f>1-(D27/E27)</x:f>
        <x:v>0.37</x:v>
      </x:c>
      <x:c r="G27" s="31" t="n">
        <x:v>0.95</x:v>
      </x:c>
      <x:c r="H27" s="30" t="str">
        <x:f>IF(F27&gt;=G27,"PASS","FAIL")</x:f>
        <x:v>FAIL</x:v>
      </x:c>
      <x:c r="I27" s="30" t="str">
        <x:v>74/200 within 24h = 37.00%; 126 stale</x:v>
      </x:c>
      <x:c r="J27" s="30" t="str">
        <x:v>Investigate / remediate if failed</x:v>
      </x:c>
    </x:row>
    <x:row r="28" ht="30" customHeight="1">
      <x:c r="A28" s="30" t="str">
        <x:v>DQ-006B</x:v>
      </x:c>
      <x:c r="B28" s="30" t="str">
        <x:v>Timeliness</x:v>
      </x:c>
      <x:c r="C28" s="30" t="str">
        <x:v>accounts.last_updated</x:v>
      </x:c>
      <x:c r="D28" s="30" t="n">
        <x:v>250</x:v>
      </x:c>
      <x:c r="E28" s="30" t="n">
        <x:v>400</x:v>
      </x:c>
      <x:c r="F28" s="31" t="n">
        <x:f>1-(D28/E28)</x:f>
        <x:v>0.375</x:v>
      </x:c>
      <x:c r="G28" s="31" t="n">
        <x:v>0.95</x:v>
      </x:c>
      <x:c r="H28" s="30" t="str">
        <x:f>IF(F28&gt;=G28,"PASS","FAIL")</x:f>
        <x:v>FAIL</x:v>
      </x:c>
      <x:c r="I28" s="30" t="str">
        <x:v>150/400 within 24h = 37.50%; 250 stale</x:v>
      </x:c>
      <x:c r="J28" s="30" t="str">
        <x:v>Investigate / remediate if failed</x:v>
      </x:c>
    </x:row>
    <x:row r="29" ht="20" customHeight="1"/>
    <x:row r="30" ht="20" customHeight="1"/>
    <x:row r="31" ht="20" customHeight="1">
      <x:c r="A31" s="50" t="str">
        <x:v>DIMENSION SUMMARY</x:v>
      </x:c>
      <x:c r="B31" s="30" t="str"/>
      <x:c r="C31" s="30" t="str"/>
      <x:c r="D31" s="30" t="str"/>
      <x:c r="E31" s="30" t="str"/>
      <x:c r="F31" s="30" t="str"/>
    </x:row>
    <x:row r="32" ht="20" customHeight="1">
      <x:c r="A32" s="22" t="str">
        <x:v>Dimension</x:v>
      </x:c>
      <x:c r="B32" s="22" t="str">
        <x:v>Controls</x:v>
      </x:c>
      <x:c r="C32" s="22" t="str">
        <x:v>Passed</x:v>
      </x:c>
      <x:c r="D32" s="22" t="str">
        <x:v>Failed</x:v>
      </x:c>
      <x:c r="E32" s="22" t="str">
        <x:v>Pass rate</x:v>
      </x:c>
      <x:c r="F32" s="22" t="str">
        <x:v>Key interpretation</x:v>
      </x:c>
    </x:row>
    <x:row r="33" ht="48" customHeight="1">
      <x:c r="A33" s="30" t="str">
        <x:v>Completeness</x:v>
      </x:c>
      <x:c r="B33" s="30" t="n">
        <x:f>COUNTIF($B$8:$B$28,A33)</x:f>
        <x:v>5</x:v>
      </x:c>
      <x:c r="C33" s="30" t="n">
        <x:f>COUNTIFS($B$8:$B$28,A33,$H$8:$H$28,"PASS")</x:f>
        <x:v>1</x:v>
      </x:c>
      <x:c r="D33" s="30" t="n">
        <x:f>COUNTIFS($B$8:$B$28,A33,$H$8:$H$28,"FAIL")</x:f>
        <x:v>4</x:v>
      </x:c>
      <x:c r="E33" s="31" t="n">
        <x:f>IF(B33=0,0,C33/B33)</x:f>
        <x:v>0.2</x:v>
      </x:c>
      <x:c r="F33" s="30" t="str">
        <x:v>Required fields contain 0-2 exceptions; ID itself passes.</x:v>
      </x:c>
    </x:row>
    <x:row r="34" ht="48" customHeight="1">
      <x:c r="A34" s="30" t="str">
        <x:v>Uniqueness</x:v>
      </x:c>
      <x:c r="B34" s="30" t="n">
        <x:f>COUNTIF($B$8:$B$28,A34)</x:f>
        <x:v>4</x:v>
      </x:c>
      <x:c r="C34" s="30" t="n">
        <x:f>COUNTIFS($B$8:$B$28,A34,$H$8:$H$28,"PASS")</x:f>
        <x:v>2</x:v>
      </x:c>
      <x:c r="D34" s="30" t="n">
        <x:f>COUNTIFS($B$8:$B$28,A34,$H$8:$H$28,"FAIL")</x:f>
        <x:v>2</x:v>
      </x:c>
      <x:c r="E34" s="31" t="n">
        <x:f>IF(B34=0,0,C34/B34)</x:f>
        <x:v>0.5</x:v>
      </x:c>
      <x:c r="F34" s="30" t="str">
        <x:v>Customer and transaction identifiers each have one excess duplicate.</x:v>
      </x:c>
    </x:row>
    <x:row r="35" ht="42" customHeight="1">
      <x:c r="A35" s="30" t="str">
        <x:v>Validity</x:v>
      </x:c>
      <x:c r="B35" s="30" t="n">
        <x:f>COUNTIF($B$8:$B$28,A35)</x:f>
        <x:v>5</x:v>
      </x:c>
      <x:c r="C35" s="30" t="n">
        <x:f>COUNTIFS($B$8:$B$28,A35,$H$8:$H$28,"PASS")</x:f>
        <x:v>0</x:v>
      </x:c>
      <x:c r="D35" s="30" t="n">
        <x:f>COUNTIFS($B$8:$B$28,A35,$H$8:$H$28,"FAIL")</x:f>
        <x:v>5</x:v>
      </x:c>
      <x:c r="E35" s="31" t="n">
        <x:f>IF(B35=0,0,C35/B35)</x:f>
        <x:v>0</x:v>
      </x:c>
      <x:c r="F35" s="30" t="str">
        <x:v>Five distinct rule violations are present.</x:v>
      </x:c>
    </x:row>
    <x:row r="36" ht="48" customHeight="1">
      <x:c r="A36" s="30" t="str">
        <x:v>Referential integrity</x:v>
      </x:c>
      <x:c r="B36" s="30" t="n">
        <x:f>COUNTIF($B$8:$B$28,A36)</x:f>
        <x:v>3</x:v>
      </x:c>
      <x:c r="C36" s="30" t="n">
        <x:f>COUNTIFS($B$8:$B$28,A36,$H$8:$H$28,"PASS")</x:f>
        <x:v>0</x:v>
      </x:c>
      <x:c r="D36" s="30" t="n">
        <x:f>COUNTIFS($B$8:$B$28,A36,$H$8:$H$28,"FAIL")</x:f>
        <x:v>3</x:v>
      </x:c>
      <x:c r="E36" s="31" t="n">
        <x:f>IF(B36=0,0,C36/B36)</x:f>
        <x:v>0</x:v>
      </x:c>
      <x:c r="F36" s="30" t="str">
        <x:v>Four broken/missing references across account and transaction relationships.</x:v>
      </x:c>
    </x:row>
    <x:row r="37" ht="48" customHeight="1">
      <x:c r="A37" s="30" t="str">
        <x:v>Consistency</x:v>
      </x:c>
      <x:c r="B37" s="30" t="n">
        <x:f>COUNTIF($B$8:$B$28,A37)</x:f>
        <x:v>2</x:v>
      </x:c>
      <x:c r="C37" s="30" t="n">
        <x:f>COUNTIFS($B$8:$B$28,A37,$H$8:$H$28,"PASS")</x:f>
        <x:v>1</x:v>
      </x:c>
      <x:c r="D37" s="30" t="n">
        <x:f>COUNTIFS($B$8:$B$28,A37,$H$8:$H$28,"FAIL")</x:f>
        <x:v>1</x:v>
      </x:c>
      <x:c r="E37" s="31" t="n">
        <x:f>IF(B37=0,0,C37/B37)</x:f>
        <x:v>0.5</x:v>
      </x:c>
      <x:c r="F37" s="30" t="str">
        <x:v>One populated currency mismatch; one applicability rule passes.</x:v>
      </x:c>
    </x:row>
    <x:row r="38" ht="60" customHeight="1">
      <x:c r="A38" s="30" t="str">
        <x:v>Timeliness</x:v>
      </x:c>
      <x:c r="B38" s="30" t="n">
        <x:f>COUNTIF($B$8:$B$28,A38)</x:f>
        <x:v>2</x:v>
      </x:c>
      <x:c r="C38" s="30" t="n">
        <x:f>COUNTIFS($B$8:$B$28,A38,$H$8:$H$28,"PASS")</x:f>
        <x:v>0</x:v>
      </x:c>
      <x:c r="D38" s="30" t="n">
        <x:f>COUNTIFS($B$8:$B$28,A38,$H$8:$H$28,"FAIL")</x:f>
        <x:v>2</x:v>
      </x:c>
      <x:c r="E38" s="31" t="n">
        <x:f>IF(B38=0,0,C38/B38)</x:f>
        <x:v>0</x:v>
      </x:c>
      <x:c r="F38" s="30" t="str">
        <x:v>Illustrative 24-hour SLA is met for only 37.0% of customers and 37.5% of accounts.</x:v>
      </x:c>
    </x:row>
    <x:row r="39" ht="20" customHeight="1"/>
    <x:row r="40" ht="20" customHeight="1"/>
    <x:row r="41" ht="20" customHeight="1">
      <x:c r="A41" s="38" t="str">
        <x:v>Important governance note: the 'test pass rate' is not an enterprise-wide data-quality score. It is a simple count of control tests passing against illustrative thresholds. In production, thresholds, criticality, weighting and escalation would be approved by business/data owners.</x:v>
      </x:c>
    </x:row>
    <x:row r="42" ht="20" customHeight="1"/>
    <x:row r="43" ht="20" customHeight="1"/>
  </x:sheetData>
  <x:mergeCells>
    <x:mergeCell ref="A1:J1"/>
    <x:mergeCell ref="A2:J2"/>
    <x:mergeCell ref="A31:F31"/>
    <x:mergeCell ref="A41:J43"/>
  </x:mergeCells>
  <x:conditionalFormatting sqref="H8:H28">
    <x:cfRule type="expression" dxfId="0" priority="1">
      <x:formula>H8="FAIL"</x:formula>
    </x:cfRule>
    <x:cfRule type="expression" dxfId="1" priority="2">
      <x:formula>H8="PASS"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72" hidden="0" customWidth="1"/>
    <x:col min="5" max="5" width="42" hidden="0" customWidth="1"/>
    <x:col min="6" max="6" width="12" hidden="0" customWidth="1"/>
    <x:col min="7" max="7" width="12" hidden="0" customWidth="1"/>
    <x:col min="8" max="8" width="12" hidden="0" customWidth="1"/>
    <x:col min="9" max="9" width="54" hidden="0" customWidth="1"/>
    <x:col min="10" max="10" width="12" hidden="0" customWidth="1"/>
    <x:col min="11" max="11" width="12" hidden="0" customWidth="1"/>
  </x:cols>
  <x:sheetData>
    <x:row r="1">
      <x:c r="A1" s="43" t="str">
        <x:v>DQ TEST RESULTS — SQL EVIDENCE</x:v>
      </x:c>
    </x:row>
    <x:row r="2">
      <x:c r="A2" s="12" t="str">
        <x:v>Results computed from the supplied synthetic CSVs using SQLite. Assessment timestamp: 2026-10-02 12:00:00.</x:v>
      </x:c>
    </x:row>
    <x:row r="4">
      <x:c r="A4" s="22" t="str">
        <x:v>Control ID</x:v>
      </x:c>
      <x:c r="B4" s="22" t="str">
        <x:v>Dimension</x:v>
      </x:c>
      <x:c r="C4" s="22" t="str">
        <x:v>Field / relationship</x:v>
      </x:c>
      <x:c r="D4" s="22" t="str">
        <x:v>SQL test</x:v>
      </x:c>
      <x:c r="E4" s="22" t="str">
        <x:v>Actual result</x:v>
      </x:c>
      <x:c r="F4" s="22" t="str">
        <x:v>Population</x:v>
      </x:c>
      <x:c r="G4" s="22" t="str">
        <x:v>Quality rate</x:v>
      </x:c>
      <x:c r="H4" s="22" t="str">
        <x:v>Status</x:v>
      </x:c>
      <x:c r="I4" s="22" t="str">
        <x:v>Sample exception / interpretation</x:v>
      </x:c>
      <x:c r="J4" s="22" t="str">
        <x:v>Exceptions</x:v>
      </x:c>
      <x:c r="K4" s="22" t="str">
        <x:v>Population</x:v>
      </x:c>
    </x:row>
    <x:row r="5">
      <x:c r="A5" s="30" t="str">
        <x:v>DQ-001A</x:v>
      </x:c>
      <x:c r="B5" s="30" t="str">
        <x:v>Completeness</x:v>
      </x:c>
      <x:c r="C5" s="30" t="str">
        <x:v>customers.customer_id</x:v>
      </x:c>
      <x:c r="D5" s="30" t="str">
        <x:v>SELECT COUNT(*) - COUNT(customer_id) AS missing_customer_id
FROM customers;</x:v>
      </x:c>
      <x:c r="E5" s="30" t="str">
        <x:v>0</x:v>
      </x:c>
      <x:c r="F5" s="30" t="n">
        <x:v>200</x:v>
      </x:c>
      <x:c r="G5" s="31" t="n">
        <x:f>1-(J5/K5)</x:f>
        <x:v>1</x:v>
      </x:c>
      <x:c r="H5" s="30" t="str">
        <x:f>IF(G5&gt;=IF(LEFT(A5,6)="DQ-006",0.95,1),"PASS","FAIL")</x:f>
        <x:v>PASS</x:v>
      </x:c>
      <x:c r="I5" s="30" t="str">
        <x:v>200 rows; 100.00% complete</x:v>
      </x:c>
      <x:c r="J5" s="30" t="n">
        <x:v>0</x:v>
      </x:c>
      <x:c r="K5" s="30" t="n">
        <x:v>200</x:v>
      </x:c>
    </x:row>
    <x:row r="6">
      <x:c r="A6" s="30" t="str">
        <x:v>DQ-001B</x:v>
      </x:c>
      <x:c r="B6" s="30" t="str">
        <x:v>Completeness</x:v>
      </x:c>
      <x:c r="C6" s="30" t="str">
        <x:v>customers.postal_code</x:v>
      </x:c>
      <x:c r="D6" s="30" t="str">
        <x:v>SELECT COUNT(*) - COUNT(NULLIF(TRIM(postal_code),'')) AS missing_postal_code
FROM customers;</x:v>
      </x:c>
      <x:c r="E6" s="30" t="str">
        <x:v>2</x:v>
      </x:c>
      <x:c r="F6" s="30" t="n">
        <x:v>200</x:v>
      </x:c>
      <x:c r="G6" s="31" t="n">
        <x:f>1-(J6/K6)</x:f>
        <x:v>0.99</x:v>
      </x:c>
      <x:c r="H6" s="30" t="str">
        <x:f>IF(G6&gt;=IF(LEFT(A6,6)="DQ-006",0.95,1),"PASS","FAIL")</x:f>
        <x:v>FAIL</x:v>
      </x:c>
      <x:c r="I6" s="30" t="str">
        <x:v>200 rows; 99.00% complete</x:v>
      </x:c>
      <x:c r="J6" s="30" t="n">
        <x:v>2</x:v>
      </x:c>
      <x:c r="K6" s="30" t="n">
        <x:v>200</x:v>
      </x:c>
    </x:row>
    <x:row r="7">
      <x:c r="A7" s="30" t="str">
        <x:v>DQ-001C</x:v>
      </x:c>
      <x:c r="B7" s="30" t="str">
        <x:v>Completeness</x:v>
      </x:c>
      <x:c r="C7" s="30" t="str">
        <x:v>accounts.customer_id</x:v>
      </x:c>
      <x:c r="D7" s="30" t="str">
        <x:v>SELECT COUNT(*) - COUNT(NULLIF(TRIM(customer_id),'')) AS missing_customer_id
FROM accounts;</x:v>
      </x:c>
      <x:c r="E7" s="30" t="str">
        <x:v>1</x:v>
      </x:c>
      <x:c r="F7" s="30" t="n">
        <x:v>400</x:v>
      </x:c>
      <x:c r="G7" s="31" t="n">
        <x:f>1-(J7/K7)</x:f>
        <x:v>0.9975</x:v>
      </x:c>
      <x:c r="H7" s="30" t="str">
        <x:f>IF(G7&gt;=IF(LEFT(A7,6)="DQ-006",0.95,1),"PASS","FAIL")</x:f>
        <x:v>FAIL</x:v>
      </x:c>
      <x:c r="I7" s="30" t="str">
        <x:v>400 rows; 99.75% complete</x:v>
      </x:c>
      <x:c r="J7" s="30" t="n">
        <x:v>1</x:v>
      </x:c>
      <x:c r="K7" s="30" t="n">
        <x:v>400</x:v>
      </x:c>
    </x:row>
    <x:row r="8">
      <x:c r="A8" s="30" t="str">
        <x:v>DQ-001D</x:v>
      </x:c>
      <x:c r="B8" s="30" t="str">
        <x:v>Completeness</x:v>
      </x:c>
      <x:c r="C8" s="30" t="str">
        <x:v>accounts.account_type</x:v>
      </x:c>
      <x:c r="D8" s="30" t="str">
        <x:v>SELECT COUNT(*) - COUNT(NULLIF(TRIM(account_type),'')) AS missing_account_type
FROM accounts;</x:v>
      </x:c>
      <x:c r="E8" s="30" t="str">
        <x:v>1</x:v>
      </x:c>
      <x:c r="F8" s="30" t="n">
        <x:v>400</x:v>
      </x:c>
      <x:c r="G8" s="31" t="n">
        <x:f>1-(J8/K8)</x:f>
        <x:v>0.9975</x:v>
      </x:c>
      <x:c r="H8" s="30" t="str">
        <x:f>IF(G8&gt;=IF(LEFT(A8,6)="DQ-006",0.95,1),"PASS","FAIL")</x:f>
        <x:v>FAIL</x:v>
      </x:c>
      <x:c r="I8" s="30" t="str">
        <x:v>400 rows; 99.75% complete</x:v>
      </x:c>
      <x:c r="J8" s="30" t="n">
        <x:v>1</x:v>
      </x:c>
      <x:c r="K8" s="30" t="n">
        <x:v>400</x:v>
      </x:c>
    </x:row>
    <x:row r="9">
      <x:c r="A9" s="30" t="str">
        <x:v>DQ-001E</x:v>
      </x:c>
      <x:c r="B9" s="30" t="str">
        <x:v>Completeness</x:v>
      </x:c>
      <x:c r="C9" s="30" t="str">
        <x:v>transactions.currency</x:v>
      </x:c>
      <x:c r="D9" s="30" t="str">
        <x:v>SELECT COUNT(*) - COUNT(NULLIF(TRIM(currency),'')) AS missing_currency
FROM transactions;</x:v>
      </x:c>
      <x:c r="E9" s="30" t="str">
        <x:v>1</x:v>
      </x:c>
      <x:c r="F9" s="30" t="n">
        <x:v>1200</x:v>
      </x:c>
      <x:c r="G9" s="31" t="n">
        <x:f>1-(J9/K9)</x:f>
        <x:v>0.9991666666666666</x:v>
      </x:c>
      <x:c r="H9" s="30" t="str">
        <x:f>IF(G9&gt;=IF(LEFT(A9,6)="DQ-006",0.95,1),"PASS","FAIL")</x:f>
        <x:v>FAIL</x:v>
      </x:c>
      <x:c r="I9" s="30" t="str">
        <x:v>1,200 rows; 99.9167% complete</x:v>
      </x:c>
      <x:c r="J9" s="30" t="n">
        <x:v>1</x:v>
      </x:c>
      <x:c r="K9" s="30" t="n">
        <x:v>1200</x:v>
      </x:c>
    </x:row>
    <x:row r="10">
      <x:c r="A10" s="30" t="str">
        <x:v>DQ-002A</x:v>
      </x:c>
      <x:c r="B10" s="30" t="str">
        <x:v>Uniqueness</x:v>
      </x:c>
      <x:c r="C10" s="30" t="str">
        <x:v>customers.customer_id</x:v>
      </x:c>
      <x:c r="D10" s="30" t="str">
        <x:v>SELECT customer_id, COUNT(*) AS n
FROM customers
GROUP BY customer_id
HAVING COUNT(*) &gt; 1;</x:v>
      </x:c>
      <x:c r="E10" s="30" t="str">
        <x:v>C00150 → 2 rows (1 excess duplicate)</x:v>
      </x:c>
      <x:c r="F10" s="30" t="n">
        <x:v>200</x:v>
      </x:c>
      <x:c r="G10" s="31" t="n">
        <x:f>1-(J10/K10)</x:f>
        <x:v>0.995</x:v>
      </x:c>
      <x:c r="H10" s="30" t="str">
        <x:f>IF(G10&gt;=IF(LEFT(A10,6)="DQ-006",0.95,1),"PASS","FAIL")</x:f>
        <x:v>FAIL</x:v>
      </x:c>
      <x:c r="I10" s="30" t="str">
        <x:v>199 distinct IDs / 200 rows = 99.50% unique</x:v>
      </x:c>
      <x:c r="J10" s="30" t="n">
        <x:v>1</x:v>
      </x:c>
      <x:c r="K10" s="30" t="n">
        <x:v>200</x:v>
      </x:c>
    </x:row>
    <x:row r="11">
      <x:c r="A11" s="30" t="str">
        <x:v>DQ-002B</x:v>
      </x:c>
      <x:c r="B11" s="30" t="str">
        <x:v>Uniqueness</x:v>
      </x:c>
      <x:c r="C11" s="30" t="str">
        <x:v>accounts.account_id</x:v>
      </x:c>
      <x:c r="D11" s="30" t="str">
        <x:v>SELECT account_id, COUNT(*) AS n
FROM accounts
GROUP BY account_id
HAVING COUNT(*) &gt; 1;</x:v>
      </x:c>
      <x:c r="E11" s="30" t="str">
        <x:v>0 duplicate groups</x:v>
      </x:c>
      <x:c r="F11" s="30" t="n">
        <x:v>400</x:v>
      </x:c>
      <x:c r="G11" s="31" t="n">
        <x:f>1-(J11/K11)</x:f>
        <x:v>1</x:v>
      </x:c>
      <x:c r="H11" s="30" t="str">
        <x:f>IF(G11&gt;=IF(LEFT(A11,6)="DQ-006",0.95,1),"PASS","FAIL")</x:f>
        <x:v>PASS</x:v>
      </x:c>
      <x:c r="I11" s="30" t="str">
        <x:v>400 distinct IDs / 400 rows = 100.00% unique</x:v>
      </x:c>
      <x:c r="J11" s="30" t="n">
        <x:v>0</x:v>
      </x:c>
      <x:c r="K11" s="30" t="n">
        <x:v>400</x:v>
      </x:c>
    </x:row>
    <x:row r="12">
      <x:c r="A12" s="30" t="str">
        <x:v>DQ-002C</x:v>
      </x:c>
      <x:c r="B12" s="30" t="str">
        <x:v>Uniqueness</x:v>
      </x:c>
      <x:c r="C12" s="30" t="str">
        <x:v>transactions.transaction_id</x:v>
      </x:c>
      <x:c r="D12" s="30" t="str">
        <x:v>SELECT transaction_id, COUNT(*) AS n
FROM transactions
GROUP BY transaction_id
HAVING COUNT(*) &gt; 1;</x:v>
      </x:c>
      <x:c r="E12" s="30" t="str">
        <x:v>T00000700 → 2 rows (1 excess duplicate)</x:v>
      </x:c>
      <x:c r="F12" s="30" t="n">
        <x:v>1200</x:v>
      </x:c>
      <x:c r="G12" s="31" t="n">
        <x:f>1-(J12/K12)</x:f>
        <x:v>0.9991666666666666</x:v>
      </x:c>
      <x:c r="H12" s="30" t="str">
        <x:f>IF(G12&gt;=IF(LEFT(A12,6)="DQ-006",0.95,1),"PASS","FAIL")</x:f>
        <x:v>FAIL</x:v>
      </x:c>
      <x:c r="I12" s="30" t="str">
        <x:v>1,199 distinct IDs / 1,200 rows = 99.9167% unique</x:v>
      </x:c>
      <x:c r="J12" s="30" t="n">
        <x:v>1</x:v>
      </x:c>
      <x:c r="K12" s="30" t="n">
        <x:v>1200</x:v>
      </x:c>
    </x:row>
    <x:row r="13">
      <x:c r="A13" s="30" t="str">
        <x:v>DQ-002D</x:v>
      </x:c>
      <x:c r="B13" s="30" t="str">
        <x:v>Uniqueness</x:v>
      </x:c>
      <x:c r="C13" s="30" t="str">
        <x:v>branches.branch_id</x:v>
      </x:c>
      <x:c r="D13" s="30" t="str">
        <x:v>SELECT branch_id, COUNT(*) AS n
FROM branches
GROUP BY branch_id
HAVING COUNT(*) &gt; 1;</x:v>
      </x:c>
      <x:c r="E13" s="30" t="str">
        <x:v>0 duplicate groups</x:v>
      </x:c>
      <x:c r="F13" s="30" t="n">
        <x:v>20</x:v>
      </x:c>
      <x:c r="G13" s="31" t="n">
        <x:f>1-(J13/K13)</x:f>
        <x:v>1</x:v>
      </x:c>
      <x:c r="H13" s="30" t="str">
        <x:f>IF(G13&gt;=IF(LEFT(A13,6)="DQ-006",0.95,1),"PASS","FAIL")</x:f>
        <x:v>PASS</x:v>
      </x:c>
      <x:c r="I13" s="30" t="str">
        <x:v>20 distinct IDs / 20 rows = 100.00% unique</x:v>
      </x:c>
      <x:c r="J13" s="30" t="n">
        <x:v>0</x:v>
      </x:c>
      <x:c r="K13" s="30" t="n">
        <x:v>20</x:v>
      </x:c>
    </x:row>
    <x:row r="14">
      <x:c r="A14" s="30" t="str">
        <x:v>DQ-003A</x:v>
      </x:c>
      <x:c r="B14" s="30" t="str">
        <x:v>Validity</x:v>
      </x:c>
      <x:c r="C14" s="30" t="str">
        <x:v>customers.customer_status</x:v>
      </x:c>
      <x:c r="D14" s="30" t="str">
        <x:v>SELECT customer_id, customer_status
FROM customers
WHERE customer_status NOT IN ('ACTIVE','INACTIVE');</x:v>
      </x:c>
      <x:c r="E14" s="30" t="str">
        <x:v>C00062 → ACTIV</x:v>
      </x:c>
      <x:c r="F14" s="30" t="n">
        <x:v>200</x:v>
      </x:c>
      <x:c r="G14" s="31" t="n">
        <x:f>1-(J14/K14)</x:f>
        <x:v>0.995</x:v>
      </x:c>
      <x:c r="H14" s="30" t="str">
        <x:f>IF(G14&gt;=IF(LEFT(A14,6)="DQ-006",0.95,1),"PASS","FAIL")</x:f>
        <x:v>FAIL</x:v>
      </x:c>
      <x:c r="I14" s="30" t="str">
        <x:v>1 invalid value / 200 rows</x:v>
      </x:c>
      <x:c r="J14" s="30" t="n">
        <x:v>1</x:v>
      </x:c>
      <x:c r="K14" s="30" t="n">
        <x:v>200</x:v>
      </x:c>
    </x:row>
    <x:row r="15">
      <x:c r="A15" s="30" t="str">
        <x:v>DQ-003B</x:v>
      </x:c>
      <x:c r="B15" s="30" t="str">
        <x:v>Validity</x:v>
      </x:c>
      <x:c r="C15" s="30" t="str">
        <x:v>customers.date_of_birth</x:v>
      </x:c>
      <x:c r="D15" s="30" t="str">
        <x:v>SELECT customer_id, date_of_birth
FROM customers
WHERE date_of_birth &gt; '2026-10-02';</x:v>
      </x:c>
      <x:c r="E15" s="30" t="str">
        <x:v>C00073 → 2032-05-10</x:v>
      </x:c>
      <x:c r="F15" s="30" t="n">
        <x:v>200</x:v>
      </x:c>
      <x:c r="G15" s="31" t="n">
        <x:f>1-(J15/K15)</x:f>
        <x:v>0.995</x:v>
      </x:c>
      <x:c r="H15" s="30" t="str">
        <x:f>IF(G15&gt;=IF(LEFT(A15,6)="DQ-006",0.95,1),"PASS","FAIL")</x:f>
        <x:v>FAIL</x:v>
      </x:c>
      <x:c r="I15" s="30" t="str">
        <x:v>1 future DOB / 200 rows</x:v>
      </x:c>
      <x:c r="J15" s="30" t="n">
        <x:v>1</x:v>
      </x:c>
      <x:c r="K15" s="30" t="n">
        <x:v>200</x:v>
      </x:c>
    </x:row>
    <x:row r="16">
      <x:c r="A16" s="30" t="str">
        <x:v>DQ-003C</x:v>
      </x:c>
      <x:c r="B16" s="30" t="str">
        <x:v>Validity</x:v>
      </x:c>
      <x:c r="C16" s="30" t="str">
        <x:v>accounts.account_status</x:v>
      </x:c>
      <x:c r="D16" s="30" t="str">
        <x:v>SELECT account_id, account_status
FROM accounts
WHERE account_status NOT IN ('ACTIVE','CLOSED','SUSPENDED');</x:v>
      </x:c>
      <x:c r="E16" s="30" t="str">
        <x:v>A000089 → ACTIV</x:v>
      </x:c>
      <x:c r="F16" s="30" t="n">
        <x:v>400</x:v>
      </x:c>
      <x:c r="G16" s="31" t="n">
        <x:f>1-(J16/K16)</x:f>
        <x:v>0.9975</x:v>
      </x:c>
      <x:c r="H16" s="30" t="str">
        <x:f>IF(G16&gt;=IF(LEFT(A16,6)="DQ-006",0.95,1),"PASS","FAIL")</x:f>
        <x:v>FAIL</x:v>
      </x:c>
      <x:c r="I16" s="30" t="str">
        <x:v>1 invalid value / 400 rows</x:v>
      </x:c>
      <x:c r="J16" s="30" t="n">
        <x:v>1</x:v>
      </x:c>
      <x:c r="K16" s="30" t="n">
        <x:v>400</x:v>
      </x:c>
    </x:row>
    <x:row r="17">
      <x:c r="A17" s="30" t="str">
        <x:v>DQ-003D</x:v>
      </x:c>
      <x:c r="B17" s="30" t="str">
        <x:v>Validity</x:v>
      </x:c>
      <x:c r="C17" s="30" t="str">
        <x:v>transactions.transaction_type</x:v>
      </x:c>
      <x:c r="D17" s="30" t="str">
        <x:v>SELECT transaction_id, transaction_type
FROM transactions
WHERE transaction_type NOT IN ('PURCHASE','PAYMENT','WITHDRAWAL','DEPOSIT','FEE','TRANSFER');</x:v>
      </x:c>
      <x:c r="E17" s="30" t="str">
        <x:v>T00000413 → PURCHSE</x:v>
      </x:c>
      <x:c r="F17" s="30" t="n">
        <x:v>1200</x:v>
      </x:c>
      <x:c r="G17" s="31" t="n">
        <x:f>1-(J17/K17)</x:f>
        <x:v>0.9991666666666666</x:v>
      </x:c>
      <x:c r="H17" s="30" t="str">
        <x:f>IF(G17&gt;=IF(LEFT(A17,6)="DQ-006",0.95,1),"PASS","FAIL")</x:f>
        <x:v>FAIL</x:v>
      </x:c>
      <x:c r="I17" s="30" t="str">
        <x:v>1 invalid value / 1,200 rows</x:v>
      </x:c>
      <x:c r="J17" s="30" t="n">
        <x:v>1</x:v>
      </x:c>
      <x:c r="K17" s="30" t="n">
        <x:v>1200</x:v>
      </x:c>
    </x:row>
    <x:row r="18">
      <x:c r="A18" s="30" t="str">
        <x:v>DQ-003E</x:v>
      </x:c>
      <x:c r="B18" s="30" t="str">
        <x:v>Validity</x:v>
      </x:c>
      <x:c r="C18" s="30" t="str">
        <x:v>transactions.amount</x:v>
      </x:c>
      <x:c r="D18" s="30" t="str">
        <x:v>SELECT transaction_id, amount
FROM transactions
WHERE CAST(amount AS REAL) &lt;= 0;</x:v>
      </x:c>
      <x:c r="E18" s="30" t="str">
        <x:v>T00000516 → -250.00</x:v>
      </x:c>
      <x:c r="F18" s="30" t="n">
        <x:v>1200</x:v>
      </x:c>
      <x:c r="G18" s="31" t="n">
        <x:f>1-(J18/K18)</x:f>
        <x:v>0.9991666666666666</x:v>
      </x:c>
      <x:c r="H18" s="30" t="str">
        <x:f>IF(G18&gt;=IF(LEFT(A18,6)="DQ-006",0.95,1),"PASS","FAIL")</x:f>
        <x:v>FAIL</x:v>
      </x:c>
      <x:c r="I18" s="30" t="str">
        <x:v>1 invalid value / 1,200 rows</x:v>
      </x:c>
      <x:c r="J18" s="30" t="n">
        <x:v>1</x:v>
      </x:c>
      <x:c r="K18" s="30" t="n">
        <x:v>1200</x:v>
      </x:c>
    </x:row>
    <x:row r="19">
      <x:c r="A19" s="30" t="str">
        <x:v>DQ-004A</x:v>
      </x:c>
      <x:c r="B19" s="30" t="str">
        <x:v>Referential integrity</x:v>
      </x:c>
      <x:c r="C19" s="30" t="str">
        <x:v>accounts.customer_id → customers.customer_id</x:v>
      </x:c>
      <x:c r="D19" s="30" t="str">
        <x:v>SELECT a.account_id, a.customer_id
FROM accounts a
LEFT JOIN customers c ON a.customer_id = c.customer_id
WHERE TRIM(COALESCE(a.customer_id,''))='' OR c.customer_id IS NULL;</x:v>
      </x:c>
      <x:c r="E19" s="30" t="str">
        <x:v>A000035 → blank; A000250 → C99999</x:v>
      </x:c>
      <x:c r="F19" s="30" t="n">
        <x:v>400</x:v>
      </x:c>
      <x:c r="G19" s="31" t="n">
        <x:f>1-(J19/K19)</x:f>
        <x:v>0.995</x:v>
      </x:c>
      <x:c r="H19" s="30" t="str">
        <x:f>IF(G19&gt;=IF(LEFT(A19,6)="DQ-006",0.95,1),"PASS","FAIL")</x:f>
        <x:v>FAIL</x:v>
      </x:c>
      <x:c r="I19" s="30" t="str">
        <x:v>2 orphan/missing references / 400 accounts</x:v>
      </x:c>
      <x:c r="J19" s="30" t="n">
        <x:v>2</x:v>
      </x:c>
      <x:c r="K19" s="30" t="n">
        <x:v>400</x:v>
      </x:c>
    </x:row>
    <x:row r="20">
      <x:c r="A20" s="30" t="str">
        <x:v>DQ-004B</x:v>
      </x:c>
      <x:c r="B20" s="30" t="str">
        <x:v>Referential integrity</x:v>
      </x:c>
      <x:c r="C20" s="30" t="str">
        <x:v>accounts.branch_id → branches.branch_id</x:v>
      </x:c>
      <x:c r="D20" s="30" t="str">
        <x:v>SELECT a.account_id, a.branch_id
FROM accounts a
LEFT JOIN branches b ON a.branch_id = b.branch_id
WHERE b.branch_id IS NULL;</x:v>
      </x:c>
      <x:c r="E20" s="30" t="str">
        <x:v>A000320 → B999</x:v>
      </x:c>
      <x:c r="F20" s="30" t="n">
        <x:v>400</x:v>
      </x:c>
      <x:c r="G20" s="31" t="n">
        <x:f>1-(J20/K20)</x:f>
        <x:v>0.9975</x:v>
      </x:c>
      <x:c r="H20" s="30" t="str">
        <x:f>IF(G20&gt;=IF(LEFT(A20,6)="DQ-006",0.95,1),"PASS","FAIL")</x:f>
        <x:v>FAIL</x:v>
      </x:c>
      <x:c r="I20" s="30" t="str">
        <x:v>1 orphan branch reference / 400 accounts</x:v>
      </x:c>
      <x:c r="J20" s="30" t="n">
        <x:v>1</x:v>
      </x:c>
      <x:c r="K20" s="30" t="n">
        <x:v>400</x:v>
      </x:c>
    </x:row>
    <x:row r="21">
      <x:c r="A21" s="30" t="str">
        <x:v>DQ-004C</x:v>
      </x:c>
      <x:c r="B21" s="30" t="str">
        <x:v>Referential integrity</x:v>
      </x:c>
      <x:c r="C21" s="30" t="str">
        <x:v>transactions.account_id → accounts.account_id</x:v>
      </x:c>
      <x:c r="D21" s="30" t="str">
        <x:v>SELECT t.transaction_id, t.account_id
FROM transactions t
LEFT JOIN accounts a ON t.account_id = a.account_id
WHERE a.account_id IS NULL;</x:v>
      </x:c>
      <x:c r="E21" s="30" t="str">
        <x:v>T00001000 → A999999</x:v>
      </x:c>
      <x:c r="F21" s="30" t="n">
        <x:v>1200</x:v>
      </x:c>
      <x:c r="G21" s="31" t="n">
        <x:f>1-(J21/K21)</x:f>
        <x:v>0.9991666666666666</x:v>
      </x:c>
      <x:c r="H21" s="30" t="str">
        <x:f>IF(G21&gt;=IF(LEFT(A21,6)="DQ-006",0.95,1),"PASS","FAIL")</x:f>
        <x:v>FAIL</x:v>
      </x:c>
      <x:c r="I21" s="30" t="str">
        <x:v>1 orphan account reference / 1,200 transactions</x:v>
      </x:c>
      <x:c r="J21" s="30" t="n">
        <x:v>1</x:v>
      </x:c>
      <x:c r="K21" s="30" t="n">
        <x:v>1200</x:v>
      </x:c>
    </x:row>
    <x:row r="22">
      <x:c r="A22" s="30" t="str">
        <x:v>DQ-005A</x:v>
      </x:c>
      <x:c r="B22" s="30" t="str">
        <x:v>Consistency</x:v>
      </x:c>
      <x:c r="C22" s="30" t="str">
        <x:v>transactions.currency vs accounts.currency</x:v>
      </x:c>
      <x:c r="D22" s="30" t="str">
        <x:v>SELECT t.transaction_id, t.account_id, t.currency, a.currency AS account_currency
FROM transactions t
JOIN accounts a ON t.account_id = a.account_id
WHERE TRIM(COALESCE(t.currency,'')) &lt;&gt; ''
  AND TRIM(COALESCE(a.currency,'')) &lt;&gt; ''
  AND t.currency &lt;&gt; a.currency;</x:v>
      </x:c>
      <x:c r="E22" s="30" t="str">
        <x:v>T00000276 → transaction USD vs account CAD</x:v>
      </x:c>
      <x:c r="F22" s="30" t="n">
        <x:v>1200</x:v>
      </x:c>
      <x:c r="G22" s="31" t="n">
        <x:f>1-(J22/K22)</x:f>
        <x:v>0.9991666666666666</x:v>
      </x:c>
      <x:c r="H22" s="30" t="str">
        <x:f>IF(G22&gt;=IF(LEFT(A22,6)="DQ-006",0.95,1),"PASS","FAIL")</x:f>
        <x:v>FAIL</x:v>
      </x:c>
      <x:c r="I22" s="30" t="str">
        <x:v>1 mismatch / 1,200 transactions</x:v>
      </x:c>
      <x:c r="J22" s="30" t="n">
        <x:v>1</x:v>
      </x:c>
      <x:c r="K22" s="30" t="n">
        <x:v>1200</x:v>
      </x:c>
    </x:row>
    <x:row r="23">
      <x:c r="A23" s="30" t="str">
        <x:v>DQ-005B</x:v>
      </x:c>
      <x:c r="B23" s="30" t="str">
        <x:v>Consistency</x:v>
      </x:c>
      <x:c r="C23" s="30" t="str">
        <x:v>accounts.credit_limit applicability</x:v>
      </x:c>
      <x:c r="D23" s="30" t="str">
        <x:v>SELECT COUNT(*)
FROM accounts
WHERE (account_type='CREDIT_CARD' AND (credit_limit IS NULL OR TRIM(credit_limit)=''))
   OR (account_type&lt;&gt;'CREDIT_CARD' AND TRIM(COALESCE(credit_limit,''))&lt;&gt;'');</x:v>
      </x:c>
      <x:c r="E23" s="30" t="str">
        <x:v>0</x:v>
      </x:c>
      <x:c r="F23" s="30" t="n">
        <x:v>400</x:v>
      </x:c>
      <x:c r="G23" s="31" t="n">
        <x:f>1-(J23/K23)</x:f>
        <x:v>1</x:v>
      </x:c>
      <x:c r="H23" s="30" t="str">
        <x:f>IF(G23&gt;=IF(LEFT(A23,6)="DQ-006",0.95,1),"PASS","FAIL")</x:f>
        <x:v>PASS</x:v>
      </x:c>
      <x:c r="I23" s="30" t="str">
        <x:v>All 92 CREDIT_CARD accounts have limits; non-credit-card rows do not.</x:v>
      </x:c>
      <x:c r="J23" s="30" t="n">
        <x:v>0</x:v>
      </x:c>
      <x:c r="K23" s="30" t="n">
        <x:v>400</x:v>
      </x:c>
    </x:row>
    <x:row r="24">
      <x:c r="A24" s="30" t="str">
        <x:v>DQ-006A</x:v>
      </x:c>
      <x:c r="B24" s="30" t="str">
        <x:v>Timeliness</x:v>
      </x:c>
      <x:c r="C24" s="30" t="str">
        <x:v>customers.last_updated</x:v>
      </x:c>
      <x:c r="D24" s="30" t="str">
        <x:v>SELECT COUNT(*)
FROM customers
WHERE last_updated &lt; datetime('2026-10-02 12:00:00','-24 hours');</x:v>
      </x:c>
      <x:c r="E24" s="30" t="str">
        <x:v>126</x:v>
      </x:c>
      <x:c r="F24" s="30" t="n">
        <x:v>200</x:v>
      </x:c>
      <x:c r="G24" s="31" t="n">
        <x:f>1-(J24/K24)</x:f>
        <x:v>0.37</x:v>
      </x:c>
      <x:c r="H24" s="30" t="str">
        <x:f>IF(G24&gt;=IF(LEFT(A24,6)="DQ-006",0.95,1),"PASS","FAIL")</x:f>
        <x:v>FAIL</x:v>
      </x:c>
      <x:c r="I24" s="30" t="str">
        <x:v>74/200 within 24h = 37.00%; 126 stale</x:v>
      </x:c>
      <x:c r="J24" s="30" t="n">
        <x:v>126</x:v>
      </x:c>
      <x:c r="K24" s="30" t="n">
        <x:v>200</x:v>
      </x:c>
    </x:row>
    <x:row r="25">
      <x:c r="A25" s="30" t="str">
        <x:v>DQ-006B</x:v>
      </x:c>
      <x:c r="B25" s="30" t="str">
        <x:v>Timeliness</x:v>
      </x:c>
      <x:c r="C25" s="30" t="str">
        <x:v>accounts.last_updated</x:v>
      </x:c>
      <x:c r="D25" s="30" t="str">
        <x:v>SELECT COUNT(*)
FROM accounts
WHERE last_updated &lt; datetime('2026-10-02 12:00:00','-24 hours');</x:v>
      </x:c>
      <x:c r="E25" s="30" t="str">
        <x:v>250</x:v>
      </x:c>
      <x:c r="F25" s="30" t="n">
        <x:v>400</x:v>
      </x:c>
      <x:c r="G25" s="31" t="n">
        <x:f>1-(J25/K25)</x:f>
        <x:v>0.375</x:v>
      </x:c>
      <x:c r="H25" s="30" t="str">
        <x:f>IF(G25&gt;=IF(LEFT(A25,6)="DQ-006",0.95,1),"PASS","FAIL")</x:f>
        <x:v>FAIL</x:v>
      </x:c>
      <x:c r="I25" s="30" t="str">
        <x:v>150/400 within 24h = 37.50%; 250 stale</x:v>
      </x:c>
      <x:c r="J25" s="30" t="n">
        <x:v>250</x:v>
      </x:c>
      <x:c r="K25" s="30" t="n">
        <x:v>400</x:v>
      </x:c>
    </x:row>
  </x:sheetData>
  <x:mergeCells>
    <x:mergeCell ref="A1:I1"/>
    <x:mergeCell ref="A2:I2"/>
  </x:mergeCells>
  <x:conditionalFormatting sqref="H5:H25">
    <x:cfRule type="expression" dxfId="2" priority="1">
      <x:formula>H5="FAIL"</x:formula>
    </x:cfRule>
    <x:cfRule type="expression" dxfId="3" priority="2">
      <x:formula>H5="PASS"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86" hidden="0" customWidth="1"/>
    <x:col min="4" max="4" width="40" hidden="0" customWidth="1"/>
    <x:col min="5" max="5" width="58" hidden="0" customWidth="1"/>
    <x:col min="6" max="6" width="12" hidden="0" customWidth="1"/>
  </x:cols>
  <x:sheetData>
    <x:row r="1">
      <x:c r="A1" s="43" t="str">
        <x:v>SQL EVIDENCE — REPRODUCIBLE GOVERNANCE TESTS</x:v>
      </x:c>
    </x:row>
    <x:row r="2">
      <x:c r="A2" s="12" t="str">
        <x:v>Engine used for the supplied results: SQLite. Date arithmetic is SQLite-specific; for SQL Server/PostgreSQL, adapt the timestamp expression while preserving the business rule.</x:v>
      </x:c>
    </x:row>
    <x:row r="4">
      <x:c r="A4" s="22" t="str">
        <x:v>Control ID</x:v>
      </x:c>
      <x:c r="B4" s="22" t="str">
        <x:v>Business rule / purpose</x:v>
      </x:c>
      <x:c r="C4" s="22" t="str">
        <x:v>SQL query</x:v>
      </x:c>
      <x:c r="D4" s="22" t="str">
        <x:v>Result</x:v>
      </x:c>
      <x:c r="E4" s="22" t="str">
        <x:v>Governance interpretation</x:v>
      </x:c>
      <x:c r="F4" s="22" t="str">
        <x:v>Status</x:v>
      </x:c>
    </x:row>
    <x:row r="5">
      <x:c r="A5" s="30" t="str">
        <x:v>DQ-001A</x:v>
      </x:c>
      <x:c r="B5" s="30" t="str">
        <x:v>customers.customer_id</x:v>
      </x:c>
      <x:c r="C5" s="30" t="str">
        <x:v>SELECT COUNT(*) - COUNT(customer_id) AS missing_customer_id
FROM customers;</x:v>
      </x:c>
      <x:c r="D5" s="30" t="str">
        <x:v>0</x:v>
      </x:c>
      <x:c r="E5" s="30" t="str">
        <x:v>200 rows; 100.00% complete</x:v>
      </x:c>
      <x:c r="F5" s="30" t="str">
        <x:v>PASS</x:v>
      </x:c>
    </x:row>
    <x:row r="6">
      <x:c r="A6" s="30" t="str">
        <x:v>DQ-001B</x:v>
      </x:c>
      <x:c r="B6" s="30" t="str">
        <x:v>customers.postal_code</x:v>
      </x:c>
      <x:c r="C6" s="30" t="str">
        <x:v>SELECT COUNT(*) - COUNT(NULLIF(TRIM(postal_code),'')) AS missing_postal_code
FROM customers;</x:v>
      </x:c>
      <x:c r="D6" s="30" t="str">
        <x:v>2</x:v>
      </x:c>
      <x:c r="E6" s="30" t="str">
        <x:v>200 rows; 99.00% complete</x:v>
      </x:c>
      <x:c r="F6" s="30" t="str">
        <x:v>FAIL</x:v>
      </x:c>
    </x:row>
    <x:row r="7">
      <x:c r="A7" s="30" t="str">
        <x:v>DQ-001C</x:v>
      </x:c>
      <x:c r="B7" s="30" t="str">
        <x:v>accounts.customer_id</x:v>
      </x:c>
      <x:c r="C7" s="30" t="str">
        <x:v>SELECT COUNT(*) - COUNT(NULLIF(TRIM(customer_id),'')) AS missing_customer_id
FROM accounts;</x:v>
      </x:c>
      <x:c r="D7" s="30" t="str">
        <x:v>1</x:v>
      </x:c>
      <x:c r="E7" s="30" t="str">
        <x:v>400 rows; 99.75% complete</x:v>
      </x:c>
      <x:c r="F7" s="30" t="str">
        <x:v>FAIL</x:v>
      </x:c>
    </x:row>
    <x:row r="8">
      <x:c r="A8" s="30" t="str">
        <x:v>DQ-001D</x:v>
      </x:c>
      <x:c r="B8" s="30" t="str">
        <x:v>accounts.account_type</x:v>
      </x:c>
      <x:c r="C8" s="30" t="str">
        <x:v>SELECT COUNT(*) - COUNT(NULLIF(TRIM(account_type),'')) AS missing_account_type
FROM accounts;</x:v>
      </x:c>
      <x:c r="D8" s="30" t="str">
        <x:v>1</x:v>
      </x:c>
      <x:c r="E8" s="30" t="str">
        <x:v>400 rows; 99.75% complete</x:v>
      </x:c>
      <x:c r="F8" s="30" t="str">
        <x:v>FAIL</x:v>
      </x:c>
    </x:row>
    <x:row r="9">
      <x:c r="A9" s="30" t="str">
        <x:v>DQ-001E</x:v>
      </x:c>
      <x:c r="B9" s="30" t="str">
        <x:v>transactions.currency</x:v>
      </x:c>
      <x:c r="C9" s="30" t="str">
        <x:v>SELECT COUNT(*) - COUNT(NULLIF(TRIM(currency),'')) AS missing_currency
FROM transactions;</x:v>
      </x:c>
      <x:c r="D9" s="30" t="str">
        <x:v>1</x:v>
      </x:c>
      <x:c r="E9" s="30" t="str">
        <x:v>1,200 rows; 99.9167% complete</x:v>
      </x:c>
      <x:c r="F9" s="30" t="str">
        <x:v>FAIL</x:v>
      </x:c>
    </x:row>
    <x:row r="10">
      <x:c r="A10" s="30" t="str">
        <x:v>DQ-002A</x:v>
      </x:c>
      <x:c r="B10" s="30" t="str">
        <x:v>customers.customer_id</x:v>
      </x:c>
      <x:c r="C10" s="30" t="str">
        <x:v>SELECT customer_id, COUNT(*) AS n
FROM customers
GROUP BY customer_id
HAVING COUNT(*) &gt; 1;</x:v>
      </x:c>
      <x:c r="D10" s="30" t="str">
        <x:v>C00150 → 2 rows (1 excess duplicate)</x:v>
      </x:c>
      <x:c r="E10" s="30" t="str">
        <x:v>199 distinct IDs / 200 rows = 99.50% unique</x:v>
      </x:c>
      <x:c r="F10" s="30" t="str">
        <x:v>FAIL</x:v>
      </x:c>
    </x:row>
    <x:row r="11">
      <x:c r="A11" s="30" t="str">
        <x:v>DQ-002B</x:v>
      </x:c>
      <x:c r="B11" s="30" t="str">
        <x:v>accounts.account_id</x:v>
      </x:c>
      <x:c r="C11" s="30" t="str">
        <x:v>SELECT account_id, COUNT(*) AS n
FROM accounts
GROUP BY account_id
HAVING COUNT(*) &gt; 1;</x:v>
      </x:c>
      <x:c r="D11" s="30" t="str">
        <x:v>0 duplicate groups</x:v>
      </x:c>
      <x:c r="E11" s="30" t="str">
        <x:v>400 distinct IDs / 400 rows = 100.00% unique</x:v>
      </x:c>
      <x:c r="F11" s="30" t="str">
        <x:v>PASS</x:v>
      </x:c>
    </x:row>
    <x:row r="12">
      <x:c r="A12" s="30" t="str">
        <x:v>DQ-002C</x:v>
      </x:c>
      <x:c r="B12" s="30" t="str">
        <x:v>transactions.transaction_id</x:v>
      </x:c>
      <x:c r="C12" s="30" t="str">
        <x:v>SELECT transaction_id, COUNT(*) AS n
FROM transactions
GROUP BY transaction_id
HAVING COUNT(*) &gt; 1;</x:v>
      </x:c>
      <x:c r="D12" s="30" t="str">
        <x:v>T00000700 → 2 rows (1 excess duplicate)</x:v>
      </x:c>
      <x:c r="E12" s="30" t="str">
        <x:v>1,199 distinct IDs / 1,200 rows = 99.9167% unique</x:v>
      </x:c>
      <x:c r="F12" s="30" t="str">
        <x:v>FAIL</x:v>
      </x:c>
    </x:row>
    <x:row r="13">
      <x:c r="A13" s="30" t="str">
        <x:v>DQ-002D</x:v>
      </x:c>
      <x:c r="B13" s="30" t="str">
        <x:v>branches.branch_id</x:v>
      </x:c>
      <x:c r="C13" s="30" t="str">
        <x:v>SELECT branch_id, COUNT(*) AS n
FROM branches
GROUP BY branch_id
HAVING COUNT(*) &gt; 1;</x:v>
      </x:c>
      <x:c r="D13" s="30" t="str">
        <x:v>0 duplicate groups</x:v>
      </x:c>
      <x:c r="E13" s="30" t="str">
        <x:v>20 distinct IDs / 20 rows = 100.00% unique</x:v>
      </x:c>
      <x:c r="F13" s="30" t="str">
        <x:v>PASS</x:v>
      </x:c>
    </x:row>
    <x:row r="14">
      <x:c r="A14" s="30" t="str">
        <x:v>DQ-003A</x:v>
      </x:c>
      <x:c r="B14" s="30" t="str">
        <x:v>customers.customer_status</x:v>
      </x:c>
      <x:c r="C14" s="30" t="str">
        <x:v>SELECT customer_id, customer_status
FROM customers
WHERE customer_status NOT IN ('ACTIVE','INACTIVE');</x:v>
      </x:c>
      <x:c r="D14" s="30" t="str">
        <x:v>C00062 → ACTIV</x:v>
      </x:c>
      <x:c r="E14" s="30" t="str">
        <x:v>1 invalid value / 200 rows</x:v>
      </x:c>
      <x:c r="F14" s="30" t="str">
        <x:v>FAIL</x:v>
      </x:c>
    </x:row>
    <x:row r="15">
      <x:c r="A15" s="30" t="str">
        <x:v>DQ-003B</x:v>
      </x:c>
      <x:c r="B15" s="30" t="str">
        <x:v>customers.date_of_birth</x:v>
      </x:c>
      <x:c r="C15" s="30" t="str">
        <x:v>SELECT customer_id, date_of_birth
FROM customers
WHERE date_of_birth &gt; '2026-10-02';</x:v>
      </x:c>
      <x:c r="D15" s="30" t="str">
        <x:v>C00073 → 2032-05-10</x:v>
      </x:c>
      <x:c r="E15" s="30" t="str">
        <x:v>1 future DOB / 200 rows</x:v>
      </x:c>
      <x:c r="F15" s="30" t="str">
        <x:v>FAIL</x:v>
      </x:c>
    </x:row>
    <x:row r="16">
      <x:c r="A16" s="30" t="str">
        <x:v>DQ-003C</x:v>
      </x:c>
      <x:c r="B16" s="30" t="str">
        <x:v>accounts.account_status</x:v>
      </x:c>
      <x:c r="C16" s="30" t="str">
        <x:v>SELECT account_id, account_status
FROM accounts
WHERE account_status NOT IN ('ACTIVE','CLOSED','SUSPENDED');</x:v>
      </x:c>
      <x:c r="D16" s="30" t="str">
        <x:v>A000089 → ACTIV</x:v>
      </x:c>
      <x:c r="E16" s="30" t="str">
        <x:v>1 invalid value / 400 rows</x:v>
      </x:c>
      <x:c r="F16" s="30" t="str">
        <x:v>FAIL</x:v>
      </x:c>
    </x:row>
    <x:row r="17">
      <x:c r="A17" s="30" t="str">
        <x:v>DQ-003D</x:v>
      </x:c>
      <x:c r="B17" s="30" t="str">
        <x:v>transactions.transaction_type</x:v>
      </x:c>
      <x:c r="C17" s="30" t="str">
        <x:v>SELECT transaction_id, transaction_type
FROM transactions
WHERE transaction_type NOT IN ('PURCHASE','PAYMENT','WITHDRAWAL','DEPOSIT','FEE','TRANSFER');</x:v>
      </x:c>
      <x:c r="D17" s="30" t="str">
        <x:v>T00000413 → PURCHSE</x:v>
      </x:c>
      <x:c r="E17" s="30" t="str">
        <x:v>1 invalid value / 1,200 rows</x:v>
      </x:c>
      <x:c r="F17" s="30" t="str">
        <x:v>FAIL</x:v>
      </x:c>
    </x:row>
    <x:row r="18">
      <x:c r="A18" s="30" t="str">
        <x:v>DQ-003E</x:v>
      </x:c>
      <x:c r="B18" s="30" t="str">
        <x:v>transactions.amount</x:v>
      </x:c>
      <x:c r="C18" s="30" t="str">
        <x:v>SELECT transaction_id, amount
FROM transactions
WHERE CAST(amount AS REAL) &lt;= 0;</x:v>
      </x:c>
      <x:c r="D18" s="30" t="str">
        <x:v>T00000516 → -250.00</x:v>
      </x:c>
      <x:c r="E18" s="30" t="str">
        <x:v>1 invalid value / 1,200 rows</x:v>
      </x:c>
      <x:c r="F18" s="30" t="str">
        <x:v>FAIL</x:v>
      </x:c>
    </x:row>
    <x:row r="19">
      <x:c r="A19" s="30" t="str">
        <x:v>DQ-004A</x:v>
      </x:c>
      <x:c r="B19" s="30" t="str">
        <x:v>accounts.customer_id → customers.customer_id</x:v>
      </x:c>
      <x:c r="C19" s="30" t="str">
        <x:v>SELECT a.account_id, a.customer_id
FROM accounts a
LEFT JOIN customers c ON a.customer_id = c.customer_id
WHERE TRIM(COALESCE(a.customer_id,''))='' OR c.customer_id IS NULL;</x:v>
      </x:c>
      <x:c r="D19" s="30" t="str">
        <x:v>A000035 → blank; A000250 → C99999</x:v>
      </x:c>
      <x:c r="E19" s="30" t="str">
        <x:v>2 orphan/missing references / 400 accounts</x:v>
      </x:c>
      <x:c r="F19" s="30" t="str">
        <x:v>FAIL</x:v>
      </x:c>
    </x:row>
    <x:row r="20">
      <x:c r="A20" s="30" t="str">
        <x:v>DQ-004B</x:v>
      </x:c>
      <x:c r="B20" s="30" t="str">
        <x:v>accounts.branch_id → branches.branch_id</x:v>
      </x:c>
      <x:c r="C20" s="30" t="str">
        <x:v>SELECT a.account_id, a.branch_id
FROM accounts a
LEFT JOIN branches b ON a.branch_id = b.branch_id
WHERE b.branch_id IS NULL;</x:v>
      </x:c>
      <x:c r="D20" s="30" t="str">
        <x:v>A000320 → B999</x:v>
      </x:c>
      <x:c r="E20" s="30" t="str">
        <x:v>1 orphan branch reference / 400 accounts</x:v>
      </x:c>
      <x:c r="F20" s="30" t="str">
        <x:v>FAIL</x:v>
      </x:c>
    </x:row>
    <x:row r="21">
      <x:c r="A21" s="30" t="str">
        <x:v>DQ-004C</x:v>
      </x:c>
      <x:c r="B21" s="30" t="str">
        <x:v>transactions.account_id → accounts.account_id</x:v>
      </x:c>
      <x:c r="C21" s="30" t="str">
        <x:v>SELECT t.transaction_id, t.account_id
FROM transactions t
LEFT JOIN accounts a ON t.account_id = a.account_id
WHERE a.account_id IS NULL;</x:v>
      </x:c>
      <x:c r="D21" s="30" t="str">
        <x:v>T00001000 → A999999</x:v>
      </x:c>
      <x:c r="E21" s="30" t="str">
        <x:v>1 orphan account reference / 1,200 transactions</x:v>
      </x:c>
      <x:c r="F21" s="30" t="str">
        <x:v>FAIL</x:v>
      </x:c>
    </x:row>
    <x:row r="22">
      <x:c r="A22" s="30" t="str">
        <x:v>DQ-005A</x:v>
      </x:c>
      <x:c r="B22" s="30" t="str">
        <x:v>transactions.currency vs accounts.currency</x:v>
      </x:c>
      <x:c r="C22" s="30" t="str">
        <x:v>SELECT t.transaction_id, t.account_id, t.currency, a.currency AS account_currency
FROM transactions t
JOIN accounts a ON t.account_id = a.account_id
WHERE TRIM(COALESCE(t.currency,'')) &lt;&gt; ''
  AND TRIM(COALESCE(a.currency,'')) &lt;&gt; ''
  AND t.currency &lt;&gt; a.currency;</x:v>
      </x:c>
      <x:c r="D22" s="30" t="str">
        <x:v>T00000276 → transaction USD vs account CAD</x:v>
      </x:c>
      <x:c r="E22" s="30" t="str">
        <x:v>1 mismatch / 1,200 transactions</x:v>
      </x:c>
      <x:c r="F22" s="30" t="str">
        <x:v>FAIL</x:v>
      </x:c>
    </x:row>
    <x:row r="23">
      <x:c r="A23" s="30" t="str">
        <x:v>DQ-005B</x:v>
      </x:c>
      <x:c r="B23" s="30" t="str">
        <x:v>accounts.credit_limit applicability</x:v>
      </x:c>
      <x:c r="C23" s="30" t="str">
        <x:v>SELECT COUNT(*)
FROM accounts
WHERE (account_type='CREDIT_CARD' AND (credit_limit IS NULL OR TRIM(credit_limit)=''))
   OR (account_type&lt;&gt;'CREDIT_CARD' AND TRIM(COALESCE(credit_limit,''))&lt;&gt;'');</x:v>
      </x:c>
      <x:c r="D23" s="30" t="str">
        <x:v>0</x:v>
      </x:c>
      <x:c r="E23" s="30" t="str">
        <x:v>All 92 CREDIT_CARD accounts have limits; non-credit-card rows do not.</x:v>
      </x:c>
      <x:c r="F23" s="30" t="str">
        <x:v>PASS</x:v>
      </x:c>
    </x:row>
    <x:row r="24">
      <x:c r="A24" s="30" t="str">
        <x:v>DQ-006A</x:v>
      </x:c>
      <x:c r="B24" s="30" t="str">
        <x:v>customers.last_updated</x:v>
      </x:c>
      <x:c r="C24" s="30" t="str">
        <x:v>SELECT COUNT(*)
FROM customers
WHERE last_updated &lt; datetime('2026-10-02 12:00:00','-24 hours');</x:v>
      </x:c>
      <x:c r="D24" s="30" t="str">
        <x:v>126</x:v>
      </x:c>
      <x:c r="E24" s="30" t="str">
        <x:v>74/200 within 24h = 37.00%; 126 stale</x:v>
      </x:c>
      <x:c r="F24" s="30" t="str">
        <x:v>FAIL</x:v>
      </x:c>
    </x:row>
    <x:row r="25">
      <x:c r="A25" s="30" t="str">
        <x:v>DQ-006B</x:v>
      </x:c>
      <x:c r="B25" s="30" t="str">
        <x:v>accounts.last_updated</x:v>
      </x:c>
      <x:c r="C25" s="30" t="str">
        <x:v>SELECT COUNT(*)
FROM accounts
WHERE last_updated &lt; datetime('2026-10-02 12:00:00','-24 hours');</x:v>
      </x:c>
      <x:c r="D25" s="30" t="str">
        <x:v>250</x:v>
      </x:c>
      <x:c r="E25" s="30" t="str">
        <x:v>150/400 within 24h = 37.50%; 250 stale</x:v>
      </x:c>
      <x:c r="F25" s="30" t="str">
        <x:v>FAIL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3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20" hidden="0" customWidth="1"/>
    <x:col min="8" max="8" width="18" hidden="0" customWidth="1"/>
    <x:col min="9" max="9" width="20" hidden="0" customWidth="1"/>
  </x:cols>
  <x:sheetData>
    <x:row r="1">
      <x:c r="A1" s="43" t="str">
        <x:v>RETAIL BANKING DATA STEWARDSHIP — RACI</x:v>
      </x:c>
    </x:row>
    <x:row r="2">
      <x:c r="A2" s="12" t="str">
        <x:v>Illustrative sandbox operating model. R=Responsible, A=Accountable, C=Consulted, I=Informed. In a real organization, roles and accountabilities are approved by the governance body.</x:v>
      </x:c>
    </x:row>
    <x:row r="4">
      <x:c r="A4" s="23" t="str">
        <x:v>Activity</x:v>
      </x:c>
      <x:c r="B4" s="23" t="str">
        <x:v>Data Governance Council</x:v>
      </x:c>
      <x:c r="C4" s="23" t="str">
        <x:v>Data Owner</x:v>
      </x:c>
      <x:c r="D4" s="23" t="str">
        <x:v>Data Steward</x:v>
      </x:c>
      <x:c r="E4" s="23" t="str">
        <x:v>DQ Analyst</x:v>
      </x:c>
      <x:c r="F4" s="23" t="str">
        <x:v>Data Engineer</x:v>
      </x:c>
      <x:c r="G4" s="23" t="str">
        <x:v>Data Product Owner</x:v>
      </x:c>
      <x:c r="H4" s="23" t="str">
        <x:v>Security/Privacy</x:v>
      </x:c>
      <x:c r="I4" s="23" t="str">
        <x:v>Business Consumer</x:v>
      </x:c>
    </x:row>
    <x:row r="5">
      <x:c r="A5" s="30" t="str">
        <x:v>Define banking data governance policy/standards</x:v>
      </x:c>
      <x:c r="B5" s="30" t="str">
        <x:v>A</x:v>
      </x:c>
      <x:c r="C5" s="30" t="str">
        <x:v>R</x:v>
      </x:c>
      <x:c r="D5" s="30" t="str">
        <x:v>C</x:v>
      </x:c>
      <x:c r="E5" s="30" t="str">
        <x:v>C</x:v>
      </x:c>
      <x:c r="F5" s="30" t="str">
        <x:v>C</x:v>
      </x:c>
      <x:c r="G5" s="30" t="str">
        <x:v>C</x:v>
      </x:c>
      <x:c r="H5" s="30" t="str">
        <x:v>C</x:v>
      </x:c>
      <x:c r="I5" s="30" t="str">
        <x:v>I</x:v>
      </x:c>
    </x:row>
    <x:row r="6">
      <x:c r="A6" s="30" t="str">
        <x:v>Approve business glossary definitions</x:v>
      </x:c>
      <x:c r="B6" s="30" t="str">
        <x:v>A</x:v>
      </x:c>
      <x:c r="C6" s="30" t="str">
        <x:v>R</x:v>
      </x:c>
      <x:c r="D6" s="30" t="str">
        <x:v>R</x:v>
      </x:c>
      <x:c r="E6" s="30" t="str">
        <x:v>C</x:v>
      </x:c>
      <x:c r="F6" s="30" t="str">
        <x:v>I</x:v>
      </x:c>
      <x:c r="G6" s="30" t="str">
        <x:v>C</x:v>
      </x:c>
      <x:c r="H6" s="30" t="str">
        <x:v>C</x:v>
      </x:c>
      <x:c r="I6" s="30" t="str">
        <x:v>I</x:v>
      </x:c>
    </x:row>
    <x:row r="7">
      <x:c r="A7" s="30" t="str">
        <x:v>Identify and approve CDEs</x:v>
      </x:c>
      <x:c r="B7" s="30" t="str">
        <x:v>A</x:v>
      </x:c>
      <x:c r="C7" s="30" t="str">
        <x:v>R</x:v>
      </x:c>
      <x:c r="D7" s="30" t="str">
        <x:v>R</x:v>
      </x:c>
      <x:c r="E7" s="30" t="str">
        <x:v>C</x:v>
      </x:c>
      <x:c r="F7" s="30" t="str">
        <x:v>I</x:v>
      </x:c>
      <x:c r="G7" s="30" t="str">
        <x:v>C</x:v>
      </x:c>
      <x:c r="H7" s="30" t="str">
        <x:v>C</x:v>
      </x:c>
      <x:c r="I7" s="30" t="str">
        <x:v>C</x:v>
      </x:c>
    </x:row>
    <x:row r="8">
      <x:c r="A8" s="30" t="str">
        <x:v>Define DQ rules and thresholds</x:v>
      </x:c>
      <x:c r="B8" s="30" t="str">
        <x:v>C</x:v>
      </x:c>
      <x:c r="C8" s="30" t="str">
        <x:v>A</x:v>
      </x:c>
      <x:c r="D8" s="30" t="str">
        <x:v>R</x:v>
      </x:c>
      <x:c r="E8" s="30" t="str">
        <x:v>R</x:v>
      </x:c>
      <x:c r="F8" s="30" t="str">
        <x:v>C</x:v>
      </x:c>
      <x:c r="G8" s="30" t="str">
        <x:v>C</x:v>
      </x:c>
      <x:c r="H8" s="30" t="str">
        <x:v>C</x:v>
      </x:c>
      <x:c r="I8" s="30" t="str">
        <x:v>C</x:v>
      </x:c>
    </x:row>
    <x:row r="9">
      <x:c r="A9" s="30" t="str">
        <x:v>Run/automate DQ controls</x:v>
      </x:c>
      <x:c r="B9" s="30" t="str">
        <x:v>I</x:v>
      </x:c>
      <x:c r="C9" s="30" t="str">
        <x:v>A</x:v>
      </x:c>
      <x:c r="D9" s="30" t="str">
        <x:v>R</x:v>
      </x:c>
      <x:c r="E9" s="30" t="str">
        <x:v>R</x:v>
      </x:c>
      <x:c r="F9" s="30" t="str">
        <x:v>R</x:v>
      </x:c>
      <x:c r="G9" s="30" t="str">
        <x:v>C</x:v>
      </x:c>
      <x:c r="H9" s="30" t="str">
        <x:v>C</x:v>
      </x:c>
      <x:c r="I9" s="30" t="str">
        <x:v>I</x:v>
      </x:c>
    </x:row>
    <x:row r="10">
      <x:c r="A10" s="30" t="str">
        <x:v>Investigate DQ exceptions / root cause</x:v>
      </x:c>
      <x:c r="B10" s="30" t="str">
        <x:v>I</x:v>
      </x:c>
      <x:c r="C10" s="30" t="str">
        <x:v>A</x:v>
      </x:c>
      <x:c r="D10" s="30" t="str">
        <x:v>R</x:v>
      </x:c>
      <x:c r="E10" s="30" t="str">
        <x:v>R</x:v>
      </x:c>
      <x:c r="F10" s="30" t="str">
        <x:v>R</x:v>
      </x:c>
      <x:c r="G10" s="30" t="str">
        <x:v>C</x:v>
      </x:c>
      <x:c r="H10" s="30" t="str">
        <x:v>C</x:v>
      </x:c>
      <x:c r="I10" s="30" t="str">
        <x:v>C</x:v>
      </x:c>
    </x:row>
    <x:row r="11">
      <x:c r="A11" s="30" t="str">
        <x:v>Execute data remediation</x:v>
      </x:c>
      <x:c r="B11" s="30" t="str">
        <x:v>I</x:v>
      </x:c>
      <x:c r="C11" s="30" t="str">
        <x:v>A</x:v>
      </x:c>
      <x:c r="D11" s="30" t="str">
        <x:v>C</x:v>
      </x:c>
      <x:c r="E11" s="30" t="str">
        <x:v>C</x:v>
      </x:c>
      <x:c r="F11" s="30" t="str">
        <x:v>R</x:v>
      </x:c>
      <x:c r="G11" s="30" t="str">
        <x:v>C</x:v>
      </x:c>
      <x:c r="H11" s="30" t="str">
        <x:v>C</x:v>
      </x:c>
      <x:c r="I11" s="30" t="str">
        <x:v>I</x:v>
      </x:c>
    </x:row>
    <x:row r="12">
      <x:c r="A12" s="30" t="str">
        <x:v>Maintain metadata and lineage evidence</x:v>
      </x:c>
      <x:c r="B12" s="30" t="str">
        <x:v>I</x:v>
      </x:c>
      <x:c r="C12" s="30" t="str">
        <x:v>A</x:v>
      </x:c>
      <x:c r="D12" s="30" t="str">
        <x:v>R</x:v>
      </x:c>
      <x:c r="E12" s="30" t="str">
        <x:v>C</x:v>
      </x:c>
      <x:c r="F12" s="30" t="str">
        <x:v>R</x:v>
      </x:c>
      <x:c r="G12" s="30" t="str">
        <x:v>C</x:v>
      </x:c>
      <x:c r="H12" s="30" t="str">
        <x:v>C</x:v>
      </x:c>
      <x:c r="I12" s="30" t="str">
        <x:v>I</x:v>
      </x:c>
    </x:row>
    <x:row r="13">
      <x:c r="A13" s="30" t="str">
        <x:v>Review classification / sensitive-data handling</x:v>
      </x:c>
      <x:c r="B13" s="30" t="str">
        <x:v>C</x:v>
      </x:c>
      <x:c r="C13" s="30" t="str">
        <x:v>A</x:v>
      </x:c>
      <x:c r="D13" s="30" t="str">
        <x:v>R</x:v>
      </x:c>
      <x:c r="E13" s="30" t="str">
        <x:v>C</x:v>
      </x:c>
      <x:c r="F13" s="30" t="str">
        <x:v>C</x:v>
      </x:c>
      <x:c r="G13" s="30" t="str">
        <x:v>C</x:v>
      </x:c>
      <x:c r="H13" s="30" t="str">
        <x:v>R</x:v>
      </x:c>
      <x:c r="I13" s="30" t="str">
        <x:v>I</x:v>
      </x:c>
    </x:row>
    <x:row r="14">
      <x:c r="A14" s="30" t="str">
        <x:v>Approve data product content / SLA</x:v>
      </x:c>
      <x:c r="B14" s="30" t="str">
        <x:v>A</x:v>
      </x:c>
      <x:c r="C14" s="30" t="str">
        <x:v>A</x:v>
      </x:c>
      <x:c r="D14" s="30" t="str">
        <x:v>R</x:v>
      </x:c>
      <x:c r="E14" s="30" t="str">
        <x:v>C</x:v>
      </x:c>
      <x:c r="F14" s="30" t="str">
        <x:v>C</x:v>
      </x:c>
      <x:c r="G14" s="30" t="str">
        <x:v>R</x:v>
      </x:c>
      <x:c r="H14" s="30" t="str">
        <x:v>C</x:v>
      </x:c>
      <x:c r="I14" s="30" t="str">
        <x:v>C</x:v>
      </x:c>
    </x:row>
    <x:row r="15">
      <x:c r="A15" s="30" t="str">
        <x:v>Escalate material DQ issues</x:v>
      </x:c>
      <x:c r="B15" s="30" t="str">
        <x:v>A</x:v>
      </x:c>
      <x:c r="C15" s="30" t="str">
        <x:v>A</x:v>
      </x:c>
      <x:c r="D15" s="30" t="str">
        <x:v>R</x:v>
      </x:c>
      <x:c r="E15" s="30" t="str">
        <x:v>R</x:v>
      </x:c>
      <x:c r="F15" s="30" t="str">
        <x:v>C</x:v>
      </x:c>
      <x:c r="G15" s="30" t="str">
        <x:v>C</x:v>
      </x:c>
      <x:c r="H15" s="30" t="str">
        <x:v>C</x:v>
      </x:c>
      <x:c r="I15" s="30" t="str">
        <x:v>I</x:v>
      </x:c>
    </x:row>
    <x:row r="16">
      <x:c r="A16" s="30" t="str">
        <x:v>Monitor governance KPIs and report</x:v>
      </x:c>
      <x:c r="B16" s="30" t="str">
        <x:v>A</x:v>
      </x:c>
      <x:c r="C16" s="30" t="str">
        <x:v>C</x:v>
      </x:c>
      <x:c r="D16" s="30" t="str">
        <x:v>R</x:v>
      </x:c>
      <x:c r="E16" s="30" t="str">
        <x:v>R</x:v>
      </x:c>
      <x:c r="F16" s="30" t="str">
        <x:v>C</x:v>
      </x:c>
      <x:c r="G16" s="30" t="str">
        <x:v>C</x:v>
      </x:c>
      <x:c r="H16" s="30" t="str">
        <x:v>C</x:v>
      </x:c>
      <x:c r="I16" s="30" t="str">
        <x:v>I</x:v>
      </x:c>
    </x:row>
    <x:row r="19">
      <x:c r="A19" s="38" t="str">
        <x:v>Governance principle: the Data Owner is accountable for the data domain and business decisions; the Data Steward operationalizes definitions, metadata and DQ governance; the DQ Analyst measures and investigates quality; Engineering implements technical remediation and pipelines. The exact RACI must be confirmed by the real organization.</x:v>
      </x:c>
    </x:row>
  </x:sheetData>
  <x:mergeCells>
    <x:mergeCell ref="A1:I1"/>
    <x:mergeCell ref="A2:I2"/>
    <x:mergeCell ref="A19:I22"/>
  </x:mergeCells>
  <x:conditionalFormatting sqref="B5:I16">
    <x:cfRule type="expression" dxfId="4" priority="1">
      <x:formula>B5="A"</x:formula>
    </x:cfRule>
    <x:cfRule type="expression" dxfId="5" priority="2">
      <x:formula>B5="R"</x:formula>
    </x:cfRule>
    <x:cfRule type="expression" dxfId="6" priority="3">
      <x:formula>B5="C"</x:formula>
    </x:cfRule>
    <x:cfRule type="expression" dxfId="7" priority="4">
      <x:formula>B5="I"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44" hidden="0" customWidth="1"/>
    <x:col min="4" max="4" width="20" hidden="0" customWidth="1"/>
    <x:col min="5" max="5" width="16" hidden="0" customWidth="1"/>
    <x:col min="6" max="6" width="28" hidden="0" customWidth="1"/>
    <x:col min="7" max="7" width="28" hidden="0" customWidth="1"/>
    <x:col min="8" max="8" width="42" hidden="0" customWidth="1"/>
  </x:cols>
  <x:sheetData>
    <x:row r="1">
      <x:c r="A1" s="43" t="str">
        <x:v>BANKING DATA DICTIONARY &amp; GOVERNANCE ATTRIBUTES</x:v>
      </x:c>
    </x:row>
    <x:row r="3">
      <x:c r="A3" s="22" t="str">
        <x:v>Table</x:v>
      </x:c>
      <x:c r="B3" s="22" t="str">
        <x:v>Column</x:v>
      </x:c>
      <x:c r="C3" s="22" t="str">
        <x:v>Business meaning</x:v>
      </x:c>
      <x:c r="D3" s="22" t="str">
        <x:v>Technical type (source)</x:v>
      </x:c>
      <x:c r="E3" s="22" t="str">
        <x:v>Candidate CDE?</x:v>
      </x:c>
      <x:c r="F3" s="22" t="str">
        <x:v>Illustrative classification</x:v>
      </x:c>
      <x:c r="G3" s="22" t="str">
        <x:v>Completeness expectation</x:v>
      </x:c>
      <x:c r="H3" s="22" t="str">
        <x:v>Notes</x:v>
      </x:c>
    </x:row>
    <x:row r="4">
      <x:c r="A4" s="30" t="str">
        <x:v>customers</x:v>
      </x:c>
      <x:c r="B4" s="30" t="str">
        <x:v>customer_id</x:v>
      </x:c>
      <x:c r="C4" s="30" t="str">
        <x:v>Unique identifier for a retail banking customer</x:v>
      </x:c>
      <x:c r="D4" s="30" t="str">
        <x:v>TEXT</x:v>
      </x:c>
      <x:c r="E4" s="30" t="str">
        <x:v>Yes</x:v>
      </x:c>
      <x:c r="F4" s="30" t="str">
        <x:v>Identifier / personal data</x:v>
      </x:c>
      <x:c r="G4" s="30" t="str">
        <x:v>Mandatory</x:v>
      </x:c>
      <x:c r="H4" s="30" t="str">
        <x:v>Uniqueness + referential integrity anchor</x:v>
      </x:c>
    </x:row>
    <x:row r="5">
      <x:c r="A5" s="30" t="str">
        <x:v>customers</x:v>
      </x:c>
      <x:c r="B5" s="30" t="str">
        <x:v>first_name</x:v>
      </x:c>
      <x:c r="C5" s="30" t="str">
        <x:v>Customer first name</x:v>
      </x:c>
      <x:c r="D5" s="30" t="str">
        <x:v>TEXT</x:v>
      </x:c>
      <x:c r="E5" s="30" t="str">
        <x:v>No</x:v>
      </x:c>
      <x:c r="F5" s="30" t="str">
        <x:v>Personal data</x:v>
      </x:c>
      <x:c r="G5" s="30" t="str">
        <x:v>Mandatory</x:v>
      </x:c>
      <x:c r="H5" s="30" t="str"/>
    </x:row>
    <x:row r="6">
      <x:c r="A6" s="30" t="str">
        <x:v>customers</x:v>
      </x:c>
      <x:c r="B6" s="30" t="str">
        <x:v>last_name</x:v>
      </x:c>
      <x:c r="C6" s="30" t="str">
        <x:v>Customer last name</x:v>
      </x:c>
      <x:c r="D6" s="30" t="str">
        <x:v>TEXT</x:v>
      </x:c>
      <x:c r="E6" s="30" t="str">
        <x:v>No</x:v>
      </x:c>
      <x:c r="F6" s="30" t="str">
        <x:v>Personal data</x:v>
      </x:c>
      <x:c r="G6" s="30" t="str">
        <x:v>Mandatory</x:v>
      </x:c>
      <x:c r="H6" s="30" t="str"/>
    </x:row>
    <x:row r="7">
      <x:c r="A7" s="30" t="str">
        <x:v>customers</x:v>
      </x:c>
      <x:c r="B7" s="30" t="str">
        <x:v>date_of_birth</x:v>
      </x:c>
      <x:c r="C7" s="30" t="str">
        <x:v>Customer date of birth</x:v>
      </x:c>
      <x:c r="D7" s="30" t="str">
        <x:v>TEXT / DATE</x:v>
      </x:c>
      <x:c r="E7" s="30" t="str">
        <x:v>Yes</x:v>
      </x:c>
      <x:c r="F7" s="30" t="str">
        <x:v>Personal data</x:v>
      </x:c>
      <x:c r="G7" s="30" t="str">
        <x:v>Mandatory</x:v>
      </x:c>
      <x:c r="H7" s="30" t="str">
        <x:v>Validity: cannot be after assessment date</x:v>
      </x:c>
    </x:row>
    <x:row r="8">
      <x:c r="A8" s="30" t="str">
        <x:v>customers</x:v>
      </x:c>
      <x:c r="B8" s="30" t="str">
        <x:v>customer_type</x:v>
      </x:c>
      <x:c r="C8" s="30" t="str">
        <x:v>Individual or business customer</x:v>
      </x:c>
      <x:c r="D8" s="30" t="str">
        <x:v>TEXT</x:v>
      </x:c>
      <x:c r="E8" s="30" t="str">
        <x:v>No</x:v>
      </x:c>
      <x:c r="F8" s="30" t="str">
        <x:v>Business attribute</x:v>
      </x:c>
      <x:c r="G8" s="30" t="str">
        <x:v>Mandatory</x:v>
      </x:c>
      <x:c r="H8" s="30" t="str">
        <x:v>Approved domain</x:v>
      </x:c>
    </x:row>
    <x:row r="9">
      <x:c r="A9" s="30" t="str">
        <x:v>customers</x:v>
      </x:c>
      <x:c r="B9" s="30" t="str">
        <x:v>country</x:v>
      </x:c>
      <x:c r="C9" s="30" t="str">
        <x:v>Country code</x:v>
      </x:c>
      <x:c r="D9" s="30" t="str">
        <x:v>TEXT</x:v>
      </x:c>
      <x:c r="E9" s="30" t="str">
        <x:v>No</x:v>
      </x:c>
      <x:c r="F9" s="30" t="str">
        <x:v>Geographic data</x:v>
      </x:c>
      <x:c r="G9" s="30" t="str">
        <x:v>Mandatory</x:v>
      </x:c>
      <x:c r="H9" s="30" t="str">
        <x:v>Synthetic values use CA</x:v>
      </x:c>
    </x:row>
    <x:row r="10">
      <x:c r="A10" s="30" t="str">
        <x:v>customers</x:v>
      </x:c>
      <x:c r="B10" s="30" t="str">
        <x:v>postal_code</x:v>
      </x:c>
      <x:c r="C10" s="30" t="str">
        <x:v>Customer mailing postal code</x:v>
      </x:c>
      <x:c r="D10" s="30" t="str">
        <x:v>TEXT</x:v>
      </x:c>
      <x:c r="E10" s="30" t="str">
        <x:v>No</x:v>
      </x:c>
      <x:c r="F10" s="30" t="str">
        <x:v>Address data</x:v>
      </x:c>
      <x:c r="G10" s="30" t="str">
        <x:v>Required for this sandbox</x:v>
      </x:c>
      <x:c r="H10" s="30" t="str">
        <x:v>2 blanks in supplied data</x:v>
      </x:c>
    </x:row>
    <x:row r="11">
      <x:c r="A11" s="30" t="str">
        <x:v>customers</x:v>
      </x:c>
      <x:c r="B11" s="30" t="str">
        <x:v>phone_number</x:v>
      </x:c>
      <x:c r="C11" s="30" t="str">
        <x:v>Customer contact telephone number</x:v>
      </x:c>
      <x:c r="D11" s="30" t="str">
        <x:v>TEXT</x:v>
      </x:c>
      <x:c r="E11" s="30" t="str">
        <x:v>No</x:v>
      </x:c>
      <x:c r="F11" s="30" t="str">
        <x:v>Contact information</x:v>
      </x:c>
      <x:c r="G11" s="30" t="str">
        <x:v>Optional in this sandbox</x:v>
      </x:c>
      <x:c r="H11" s="30" t="str">
        <x:v>1 blank in supplied data</x:v>
      </x:c>
    </x:row>
    <x:row r="12">
      <x:c r="A12" s="30" t="str">
        <x:v>customers</x:v>
      </x:c>
      <x:c r="B12" s="30" t="str">
        <x:v>email</x:v>
      </x:c>
      <x:c r="C12" s="30" t="str">
        <x:v>Customer contact email</x:v>
      </x:c>
      <x:c r="D12" s="30" t="str">
        <x:v>TEXT</x:v>
      </x:c>
      <x:c r="E12" s="30" t="str">
        <x:v>No</x:v>
      </x:c>
      <x:c r="F12" s="30" t="str">
        <x:v>Personal data</x:v>
      </x:c>
      <x:c r="G12" s="30" t="str">
        <x:v>Mandatory</x:v>
      </x:c>
      <x:c r="H12" s="30" t="str">
        <x:v>Synthetic/example domain</x:v>
      </x:c>
    </x:row>
    <x:row r="13">
      <x:c r="A13" s="30" t="str">
        <x:v>customers</x:v>
      </x:c>
      <x:c r="B13" s="30" t="str">
        <x:v>customer_status</x:v>
      </x:c>
      <x:c r="C13" s="30" t="str">
        <x:v>Customer lifecycle status</x:v>
      </x:c>
      <x:c r="D13" s="30" t="str">
        <x:v>TEXT</x:v>
      </x:c>
      <x:c r="E13" s="30" t="str">
        <x:v>Yes</x:v>
      </x:c>
      <x:c r="F13" s="30" t="str">
        <x:v>Governance/status data</x:v>
      </x:c>
      <x:c r="G13" s="30" t="str">
        <x:v>Mandatory</x:v>
      </x:c>
      <x:c r="H13" s="30" t="str">
        <x:v>Approved values ACTIVE/INACTIVE</x:v>
      </x:c>
    </x:row>
    <x:row r="14">
      <x:c r="A14" s="30" t="str">
        <x:v>customers</x:v>
      </x:c>
      <x:c r="B14" s="30" t="str">
        <x:v>created_date</x:v>
      </x:c>
      <x:c r="C14" s="30" t="str">
        <x:v>Date customer record was created</x:v>
      </x:c>
      <x:c r="D14" s="30" t="str">
        <x:v>TEXT / DATE</x:v>
      </x:c>
      <x:c r="E14" s="30" t="str">
        <x:v>No</x:v>
      </x:c>
      <x:c r="F14" s="30" t="str">
        <x:v>Operational metadata</x:v>
      </x:c>
      <x:c r="G14" s="30" t="str">
        <x:v>Mandatory</x:v>
      </x:c>
      <x:c r="H14" s="30" t="str"/>
    </x:row>
    <x:row r="15">
      <x:c r="A15" s="30" t="str">
        <x:v>customers</x:v>
      </x:c>
      <x:c r="B15" s="30" t="str">
        <x:v>last_updated</x:v>
      </x:c>
      <x:c r="C15" s="30" t="str">
        <x:v>Last source update timestamp</x:v>
      </x:c>
      <x:c r="D15" s="30" t="str">
        <x:v>TEXT / TIMESTAMP</x:v>
      </x:c>
      <x:c r="E15" s="30" t="str">
        <x:v>Yes</x:v>
      </x:c>
      <x:c r="F15" s="30" t="str">
        <x:v>Operational metadata</x:v>
      </x:c>
      <x:c r="G15" s="30" t="str">
        <x:v>Mandatory</x:v>
      </x:c>
      <x:c r="H15" s="30" t="str">
        <x:v>Used for timeliness control</x:v>
      </x:c>
    </x:row>
    <x:row r="16">
      <x:c r="A16" s="30" t="str">
        <x:v>accounts</x:v>
      </x:c>
      <x:c r="B16" s="30" t="str">
        <x:v>account_id</x:v>
      </x:c>
      <x:c r="C16" s="30" t="str">
        <x:v>Unique identifier for a bank account</x:v>
      </x:c>
      <x:c r="D16" s="30" t="str">
        <x:v>TEXT</x:v>
      </x:c>
      <x:c r="E16" s="30" t="str">
        <x:v>Yes</x:v>
      </x:c>
      <x:c r="F16" s="30" t="str">
        <x:v>Financial identifier</x:v>
      </x:c>
      <x:c r="G16" s="30" t="str">
        <x:v>Mandatory</x:v>
      </x:c>
      <x:c r="H16" s="30" t="str">
        <x:v>Uniqueness control</x:v>
      </x:c>
    </x:row>
    <x:row r="17">
      <x:c r="A17" s="30" t="str">
        <x:v>accounts</x:v>
      </x:c>
      <x:c r="B17" s="30" t="str">
        <x:v>customer_id</x:v>
      </x:c>
      <x:c r="C17" s="30" t="str">
        <x:v>Customer associated with the account</x:v>
      </x:c>
      <x:c r="D17" s="30" t="str">
        <x:v>TEXT</x:v>
      </x:c>
      <x:c r="E17" s="30" t="str">
        <x:v>Yes</x:v>
      </x:c>
      <x:c r="F17" s="30" t="str">
        <x:v>Identifier / relationship</x:v>
      </x:c>
      <x:c r="G17" s="30" t="str">
        <x:v>Mandatory</x:v>
      </x:c>
      <x:c r="H17" s="30" t="str">
        <x:v>Referential integrity to customers</x:v>
      </x:c>
    </x:row>
    <x:row r="18">
      <x:c r="A18" s="30" t="str">
        <x:v>accounts</x:v>
      </x:c>
      <x:c r="B18" s="30" t="str">
        <x:v>account_type</x:v>
      </x:c>
      <x:c r="C18" s="30" t="str">
        <x:v>Type of account</x:v>
      </x:c>
      <x:c r="D18" s="30" t="str">
        <x:v>TEXT</x:v>
      </x:c>
      <x:c r="E18" s="30" t="str">
        <x:v>Yes</x:v>
      </x:c>
      <x:c r="F18" s="30" t="str">
        <x:v>Financial data</x:v>
      </x:c>
      <x:c r="G18" s="30" t="str">
        <x:v>Mandatory</x:v>
      </x:c>
      <x:c r="H18" s="30" t="str">
        <x:v>Approved domain</x:v>
      </x:c>
    </x:row>
    <x:row r="19">
      <x:c r="A19" s="30" t="str">
        <x:v>accounts</x:v>
      </x:c>
      <x:c r="B19" s="30" t="str">
        <x:v>account_status</x:v>
      </x:c>
      <x:c r="C19" s="30" t="str">
        <x:v>Account lifecycle status</x:v>
      </x:c>
      <x:c r="D19" s="30" t="str">
        <x:v>TEXT</x:v>
      </x:c>
      <x:c r="E19" s="30" t="str">
        <x:v>Yes</x:v>
      </x:c>
      <x:c r="F19" s="30" t="str">
        <x:v>Financial/status data</x:v>
      </x:c>
      <x:c r="G19" s="30" t="str">
        <x:v>Mandatory</x:v>
      </x:c>
      <x:c r="H19" s="30" t="str">
        <x:v>Approved domain</x:v>
      </x:c>
    </x:row>
    <x:row r="20">
      <x:c r="A20" s="30" t="str">
        <x:v>accounts</x:v>
      </x:c>
      <x:c r="B20" s="30" t="str">
        <x:v>currency</x:v>
      </x:c>
      <x:c r="C20" s="30" t="str">
        <x:v>Account currency</x:v>
      </x:c>
      <x:c r="D20" s="30" t="str">
        <x:v>TEXT</x:v>
      </x:c>
      <x:c r="E20" s="30" t="str">
        <x:v>Yes</x:v>
      </x:c>
      <x:c r="F20" s="30" t="str">
        <x:v>Financial data</x:v>
      </x:c>
      <x:c r="G20" s="30" t="str">
        <x:v>Mandatory</x:v>
      </x:c>
      <x:c r="H20" s="30" t="str">
        <x:v>Approved values CAD/USD</x:v>
      </x:c>
    </x:row>
    <x:row r="21">
      <x:c r="A21" s="30" t="str">
        <x:v>accounts</x:v>
      </x:c>
      <x:c r="B21" s="30" t="str">
        <x:v>open_date</x:v>
      </x:c>
      <x:c r="C21" s="30" t="str">
        <x:v>Date account was opened</x:v>
      </x:c>
      <x:c r="D21" s="30" t="str">
        <x:v>TEXT / DATE</x:v>
      </x:c>
      <x:c r="E21" s="30" t="str">
        <x:v>No</x:v>
      </x:c>
      <x:c r="F21" s="30" t="str">
        <x:v>Operational data</x:v>
      </x:c>
      <x:c r="G21" s="30" t="str">
        <x:v>Mandatory</x:v>
      </x:c>
      <x:c r="H21" s="30" t="str"/>
    </x:row>
    <x:row r="22">
      <x:c r="A22" s="30" t="str">
        <x:v>accounts</x:v>
      </x:c>
      <x:c r="B22" s="30" t="str">
        <x:v>credit_limit</x:v>
      </x:c>
      <x:c r="C22" s="30" t="str">
        <x:v>Credit limit where applicable</x:v>
      </x:c>
      <x:c r="D22" s="30" t="str">
        <x:v>TEXT / DECIMAL</x:v>
      </x:c>
      <x:c r="E22" s="30" t="str">
        <x:v>Yes</x:v>
      </x:c>
      <x:c r="F22" s="30" t="str">
        <x:v>Financial data</x:v>
      </x:c>
      <x:c r="G22" s="30" t="str">
        <x:v>Conditional</x:v>
      </x:c>
      <x:c r="H22" s="30" t="str">
        <x:v>Applicable to CREDIT_CARD accounts</x:v>
      </x:c>
    </x:row>
    <x:row r="23">
      <x:c r="A23" s="30" t="str">
        <x:v>accounts</x:v>
      </x:c>
      <x:c r="B23" s="30" t="str">
        <x:v>current_balance</x:v>
      </x:c>
      <x:c r="C23" s="30" t="str">
        <x:v>Current reported account balance</x:v>
      </x:c>
      <x:c r="D23" s="30" t="str">
        <x:v>TEXT / DECIMAL</x:v>
      </x:c>
      <x:c r="E23" s="30" t="str">
        <x:v>Yes</x:v>
      </x:c>
      <x:c r="F23" s="30" t="str">
        <x:v>Financial data / CDE</x:v>
      </x:c>
      <x:c r="G23" s="30" t="str">
        <x:v>Mandatory</x:v>
      </x:c>
      <x:c r="H23" s="30" t="str">
        <x:v>High-governance field</x:v>
      </x:c>
    </x:row>
    <x:row r="24">
      <x:c r="A24" s="30" t="str">
        <x:v>accounts</x:v>
      </x:c>
      <x:c r="B24" s="30" t="str">
        <x:v>branch_id</x:v>
      </x:c>
      <x:c r="C24" s="30" t="str">
        <x:v>Servicing branch identifier</x:v>
      </x:c>
      <x:c r="D24" s="30" t="str">
        <x:v>TEXT</x:v>
      </x:c>
      <x:c r="E24" s="30" t="str">
        <x:v>No</x:v>
      </x:c>
      <x:c r="F24" s="30" t="str">
        <x:v>Reference data</x:v>
      </x:c>
      <x:c r="G24" s="30" t="str">
        <x:v>Mandatory</x:v>
      </x:c>
      <x:c r="H24" s="30" t="str">
        <x:v>Referential integrity to branches</x:v>
      </x:c>
    </x:row>
    <x:row r="25">
      <x:c r="A25" s="30" t="str">
        <x:v>accounts</x:v>
      </x:c>
      <x:c r="B25" s="30" t="str">
        <x:v>last_updated</x:v>
      </x:c>
      <x:c r="C25" s="30" t="str">
        <x:v>Last account update timestamp</x:v>
      </x:c>
      <x:c r="D25" s="30" t="str">
        <x:v>TEXT / TIMESTAMP</x:v>
      </x:c>
      <x:c r="E25" s="30" t="str">
        <x:v>Yes</x:v>
      </x:c>
      <x:c r="F25" s="30" t="str">
        <x:v>Operational metadata</x:v>
      </x:c>
      <x:c r="G25" s="30" t="str">
        <x:v>Mandatory</x:v>
      </x:c>
      <x:c r="H25" s="30" t="str">
        <x:v>Used for timeliness control</x:v>
      </x:c>
    </x:row>
    <x:row r="26">
      <x:c r="A26" s="30" t="str">
        <x:v>transactions</x:v>
      </x:c>
      <x:c r="B26" s="30" t="str">
        <x:v>transaction_id</x:v>
      </x:c>
      <x:c r="C26" s="30" t="str">
        <x:v>Unique identifier for a financial transaction</x:v>
      </x:c>
      <x:c r="D26" s="30" t="str">
        <x:v>TEXT</x:v>
      </x:c>
      <x:c r="E26" s="30" t="str">
        <x:v>Yes</x:v>
      </x:c>
      <x:c r="F26" s="30" t="str">
        <x:v>Financial identifier</x:v>
      </x:c>
      <x:c r="G26" s="30" t="str">
        <x:v>Mandatory</x:v>
      </x:c>
      <x:c r="H26" s="30" t="str">
        <x:v>Uniqueness control</x:v>
      </x:c>
    </x:row>
    <x:row r="27">
      <x:c r="A27" s="30" t="str">
        <x:v>transactions</x:v>
      </x:c>
      <x:c r="B27" s="30" t="str">
        <x:v>account_id</x:v>
      </x:c>
      <x:c r="C27" s="30" t="str">
        <x:v>Account associated with transaction</x:v>
      </x:c>
      <x:c r="D27" s="30" t="str">
        <x:v>TEXT</x:v>
      </x:c>
      <x:c r="E27" s="30" t="str">
        <x:v>Yes</x:v>
      </x:c>
      <x:c r="F27" s="30" t="str">
        <x:v>Identifier / relationship</x:v>
      </x:c>
      <x:c r="G27" s="30" t="str">
        <x:v>Mandatory</x:v>
      </x:c>
      <x:c r="H27" s="30" t="str">
        <x:v>Referential integrity to accounts</x:v>
      </x:c>
    </x:row>
    <x:row r="28">
      <x:c r="A28" s="30" t="str">
        <x:v>transactions</x:v>
      </x:c>
      <x:c r="B28" s="30" t="str">
        <x:v>transaction_date</x:v>
      </x:c>
      <x:c r="C28" s="30" t="str">
        <x:v>Business date of transaction</x:v>
      </x:c>
      <x:c r="D28" s="30" t="str">
        <x:v>TEXT / DATE</x:v>
      </x:c>
      <x:c r="E28" s="30" t="str">
        <x:v>Yes</x:v>
      </x:c>
      <x:c r="F28" s="30" t="str">
        <x:v>Financial data</x:v>
      </x:c>
      <x:c r="G28" s="30" t="str">
        <x:v>Mandatory</x:v>
      </x:c>
      <x:c r="H28" s="30" t="str"/>
    </x:row>
    <x:row r="29">
      <x:c r="A29" s="30" t="str">
        <x:v>transactions</x:v>
      </x:c>
      <x:c r="B29" s="30" t="str">
        <x:v>transaction_type</x:v>
      </x:c>
      <x:c r="C29" s="30" t="str">
        <x:v>Transaction classification</x:v>
      </x:c>
      <x:c r="D29" s="30" t="str">
        <x:v>TEXT</x:v>
      </x:c>
      <x:c r="E29" s="30" t="str">
        <x:v>No</x:v>
      </x:c>
      <x:c r="F29" s="30" t="str">
        <x:v>Reference/domain data</x:v>
      </x:c>
      <x:c r="G29" s="30" t="str">
        <x:v>Mandatory</x:v>
      </x:c>
      <x:c r="H29" s="30" t="str">
        <x:v>Approved domain</x:v>
      </x:c>
    </x:row>
    <x:row r="30">
      <x:c r="A30" s="30" t="str">
        <x:v>transactions</x:v>
      </x:c>
      <x:c r="B30" s="30" t="str">
        <x:v>amount</x:v>
      </x:c>
      <x:c r="C30" s="30" t="str">
        <x:v>Monetary transaction amount</x:v>
      </x:c>
      <x:c r="D30" s="30" t="str">
        <x:v>TEXT / DECIMAL</x:v>
      </x:c>
      <x:c r="E30" s="30" t="str">
        <x:v>Yes</x:v>
      </x:c>
      <x:c r="F30" s="30" t="str">
        <x:v>Financial data / CDE</x:v>
      </x:c>
      <x:c r="G30" s="30" t="str">
        <x:v>Mandatory</x:v>
      </x:c>
      <x:c r="H30" s="30" t="str">
        <x:v>Validity: &gt; 0 in this sandbox</x:v>
      </x:c>
    </x:row>
    <x:row r="31">
      <x:c r="A31" s="30" t="str">
        <x:v>transactions</x:v>
      </x:c>
      <x:c r="B31" s="30" t="str">
        <x:v>currency</x:v>
      </x:c>
      <x:c r="C31" s="30" t="str">
        <x:v>Currency of transaction</x:v>
      </x:c>
      <x:c r="D31" s="30" t="str">
        <x:v>TEXT</x:v>
      </x:c>
      <x:c r="E31" s="30" t="str">
        <x:v>Yes</x:v>
      </x:c>
      <x:c r="F31" s="30" t="str">
        <x:v>Financial data</x:v>
      </x:c>
      <x:c r="G31" s="30" t="str">
        <x:v>Mandatory</x:v>
      </x:c>
      <x:c r="H31" s="30" t="str">
        <x:v>Consistency with account currency</x:v>
      </x:c>
    </x:row>
    <x:row r="32">
      <x:c r="A32" s="30" t="str">
        <x:v>transactions</x:v>
      </x:c>
      <x:c r="B32" s="30" t="str">
        <x:v>merchant_category</x:v>
      </x:c>
      <x:c r="C32" s="30" t="str">
        <x:v>Broad merchant category</x:v>
      </x:c>
      <x:c r="D32" s="30" t="str">
        <x:v>TEXT</x:v>
      </x:c>
      <x:c r="E32" s="30" t="str">
        <x:v>No</x:v>
      </x:c>
      <x:c r="F32" s="30" t="str">
        <x:v>Reference/domain data</x:v>
      </x:c>
      <x:c r="G32" s="30" t="str">
        <x:v>Mandatory</x:v>
      </x:c>
      <x:c r="H32" s="30" t="str"/>
    </x:row>
    <x:row r="33">
      <x:c r="A33" s="30" t="str">
        <x:v>transactions</x:v>
      </x:c>
      <x:c r="B33" s="30" t="str">
        <x:v>transaction_status</x:v>
      </x:c>
      <x:c r="C33" s="30" t="str">
        <x:v>Transaction processing status</x:v>
      </x:c>
      <x:c r="D33" s="30" t="str">
        <x:v>TEXT</x:v>
      </x:c>
      <x:c r="E33" s="30" t="str">
        <x:v>No</x:v>
      </x:c>
      <x:c r="F33" s="30" t="str">
        <x:v>Financial/status data</x:v>
      </x:c>
      <x:c r="G33" s="30" t="str">
        <x:v>Mandatory</x:v>
      </x:c>
      <x:c r="H33" s="30" t="str">
        <x:v>Approved domain</x:v>
      </x:c>
    </x:row>
    <x:row r="34">
      <x:c r="A34" s="30" t="str">
        <x:v>transactions</x:v>
      </x:c>
      <x:c r="B34" s="30" t="str">
        <x:v>created_timestamp</x:v>
      </x:c>
      <x:c r="C34" s="30" t="str">
        <x:v>Timestamp record was created</x:v>
      </x:c>
      <x:c r="D34" s="30" t="str">
        <x:v>TEXT / TIMESTAMP</x:v>
      </x:c>
      <x:c r="E34" s="30" t="str">
        <x:v>No</x:v>
      </x:c>
      <x:c r="F34" s="30" t="str">
        <x:v>Operational metadata</x:v>
      </x:c>
      <x:c r="G34" s="30" t="str">
        <x:v>Mandatory</x:v>
      </x:c>
      <x:c r="H34" s="30" t="str">
        <x:v>Potential future ingestion-timeliness control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2" hidden="0" customWidth="1"/>
    <x:col min="4" max="4" width="46" hidden="0" customWidth="1"/>
    <x:col min="5" max="5" width="42" hidden="0" customWidth="1"/>
    <x:col min="6" max="6" width="22" hidden="0" customWidth="1"/>
  </x:cols>
  <x:sheetData>
    <x:row r="1">
      <x:c r="A1" s="43" t="str">
        <x:v>MICROSOFT PURVIEW DATA MODEL — DESIGN ARTIFACT</x:v>
      </x:c>
    </x:row>
    <x:row r="2">
      <x:c r="A2" s="47" t="str">
        <x:v>NOT EXECUTED IN PURVIEW. This sheet maps the banking governance solution to Purview concepts for portfolio/interview purposes.</x:v>
      </x:c>
    </x:row>
    <x:row r="4">
      <x:c r="A4" s="22" t="str">
        <x:v>Purview concept</x:v>
      </x:c>
      <x:c r="B4" s="22" t="str">
        <x:v>Designed object</x:v>
      </x:c>
      <x:c r="C4" s="22" t="str">
        <x:v>Purpose</x:v>
      </x:c>
      <x:c r="D4" s="22" t="str">
        <x:v>Example contents</x:v>
      </x:c>
      <x:c r="E4" s="22" t="str">
        <x:v>Relationship</x:v>
      </x:c>
      <x:c r="F4" s="22" t="str">
        <x:v>Implementation status</x:v>
      </x:c>
    </x:row>
    <x:row r="5">
      <x:c r="A5" s="30" t="str">
        <x:v>Governance domain</x:v>
      </x:c>
      <x:c r="B5" s="30" t="str">
        <x:v>Retail Banking Data</x:v>
      </x:c>
      <x:c r="C5" s="30" t="str">
        <x:v>Business governance boundary</x:v>
      </x:c>
      <x:c r="D5" s="30" t="str">
        <x:v>Customer, account, branch and transaction data</x:v>
      </x:c>
      <x:c r="E5" s="30" t="str">
        <x:v>Owns/contains governance concepts</x:v>
      </x:c>
      <x:c r="F5" s="30" t="str">
        <x:v>Design only</x:v>
      </x:c>
    </x:row>
    <x:row r="6">
      <x:c r="A6" s="30" t="str">
        <x:v>Data product</x:v>
      </x:c>
      <x:c r="B6" s="30" t="str">
        <x:v>Customer &amp; Account Data</x:v>
      </x:c>
      <x:c r="C6" s="30" t="str">
        <x:v>Business-oriented package of assets</x:v>
      </x:c>
      <x:c r="D6" s="30" t="str">
        <x:v>Customer + account + branch assets</x:v>
      </x:c>
      <x:c r="E6" s="30" t="str">
        <x:v>Belongs to governance domain</x:v>
      </x:c>
      <x:c r="F6" s="30" t="str">
        <x:v>Design only</x:v>
      </x:c>
    </x:row>
    <x:row r="7">
      <x:c r="A7" s="30" t="str">
        <x:v>Data product</x:v>
      </x:c>
      <x:c r="B7" s="30" t="str">
        <x:v>Transaction Data</x:v>
      </x:c>
      <x:c r="C7" s="30" t="str">
        <x:v>Business-oriented transaction package</x:v>
      </x:c>
      <x:c r="D7" s="30" t="str">
        <x:v>Transaction + account relationship assets</x:v>
      </x:c>
      <x:c r="E7" s="30" t="str">
        <x:v>Belongs to governance domain</x:v>
      </x:c>
      <x:c r="F7" s="30" t="str">
        <x:v>Design only</x:v>
      </x:c>
    </x:row>
    <x:row r="8">
      <x:c r="A8" s="30" t="str">
        <x:v>Data product</x:v>
      </x:c>
      <x:c r="B8" s="30" t="str">
        <x:v>Retail Banking Reporting</x:v>
      </x:c>
      <x:c r="C8" s="30" t="str">
        <x:v>Consumption-oriented package</x:v>
      </x:c>
      <x:c r="D8" s="30" t="str">
        <x:v>Curated banking dataset + reporting output</x:v>
      </x:c>
      <x:c r="E8" s="30" t="str">
        <x:v>Downstream consumer</x:v>
      </x:c>
      <x:c r="F8" s="30" t="str">
        <x:v>Design only</x:v>
      </x:c>
    </x:row>
    <x:row r="9">
      <x:c r="A9" s="30" t="str">
        <x:v>Data asset</x:v>
      </x:c>
      <x:c r="B9" s="30" t="str">
        <x:v>customers.csv</x:v>
      </x:c>
      <x:c r="C9" s="30" t="str">
        <x:v>Raw source asset</x:v>
      </x:c>
      <x:c r="D9" s="30" t="str">
        <x:v>Customer source records</x:v>
      </x:c>
      <x:c r="E9" s="30" t="str">
        <x:v>Upstream of staging</x:v>
      </x:c>
      <x:c r="F9" s="30" t="str">
        <x:v>Design only</x:v>
      </x:c>
    </x:row>
    <x:row r="10">
      <x:c r="A10" s="30" t="str">
        <x:v>Data asset</x:v>
      </x:c>
      <x:c r="B10" s="30" t="str">
        <x:v>accounts.csv</x:v>
      </x:c>
      <x:c r="C10" s="30" t="str">
        <x:v>Raw source asset</x:v>
      </x:c>
      <x:c r="D10" s="30" t="str">
        <x:v>Account source records</x:v>
      </x:c>
      <x:c r="E10" s="30" t="str">
        <x:v>Upstream of staging</x:v>
      </x:c>
      <x:c r="F10" s="30" t="str">
        <x:v>Design only</x:v>
      </x:c>
    </x:row>
    <x:row r="11">
      <x:c r="A11" s="30" t="str">
        <x:v>Data asset</x:v>
      </x:c>
      <x:c r="B11" s="30" t="str">
        <x:v>transactions.csv</x:v>
      </x:c>
      <x:c r="C11" s="30" t="str">
        <x:v>Raw source asset</x:v>
      </x:c>
      <x:c r="D11" s="30" t="str">
        <x:v>Transaction source records</x:v>
      </x:c>
      <x:c r="E11" s="30" t="str">
        <x:v>Upstream of staging</x:v>
      </x:c>
      <x:c r="F11" s="30" t="str">
        <x:v>Design only</x:v>
      </x:c>
    </x:row>
    <x:row r="12">
      <x:c r="A12" s="30" t="str">
        <x:v>Data asset</x:v>
      </x:c>
      <x:c r="B12" s="30" t="str">
        <x:v>branches.csv</x:v>
      </x:c>
      <x:c r="C12" s="30" t="str">
        <x:v>Raw reference asset</x:v>
      </x:c>
      <x:c r="D12" s="30" t="str">
        <x:v>Branch reference records</x:v>
      </x:c>
      <x:c r="E12" s="30" t="str">
        <x:v>Upstream of staging</x:v>
      </x:c>
      <x:c r="F12" s="30" t="str">
        <x:v>Design only</x:v>
      </x:c>
    </x:row>
    <x:row r="13">
      <x:c r="A13" s="30" t="str">
        <x:v>Glossary term</x:v>
      </x:c>
      <x:c r="B13" s="30" t="str">
        <x:v>Customer ID</x:v>
      </x:c>
      <x:c r="C13" s="30" t="str">
        <x:v>Standard business meaning</x:v>
      </x:c>
      <x:c r="D13" s="30" t="str">
        <x:v>Unique banking customer identifier</x:v>
      </x:c>
      <x:c r="E13" s="30" t="str">
        <x:v>Mapped to customer_id columns</x:v>
      </x:c>
      <x:c r="F13" s="30" t="str">
        <x:v>Design only</x:v>
      </x:c>
    </x:row>
    <x:row r="14">
      <x:c r="A14" s="30" t="str">
        <x:v>Glossary term</x:v>
      </x:c>
      <x:c r="B14" s="30" t="str">
        <x:v>Account Balance</x:v>
      </x:c>
      <x:c r="C14" s="30" t="str">
        <x:v>Standard business meaning</x:v>
      </x:c>
      <x:c r="D14" s="30" t="str">
        <x:v>Current reported account balance</x:v>
      </x:c>
      <x:c r="E14" s="30" t="str">
        <x:v>Mapped to current_balance</x:v>
      </x:c>
      <x:c r="F14" s="30" t="str">
        <x:v>Design only</x:v>
      </x:c>
    </x:row>
    <x:row r="15">
      <x:c r="A15" s="30" t="str">
        <x:v>CDE</x:v>
      </x:c>
      <x:c r="B15" s="30" t="str">
        <x:v>customer_id</x:v>
      </x:c>
      <x:c r="C15" s="30" t="str">
        <x:v>Elevated governance attention</x:v>
      </x:c>
      <x:c r="D15" s="30" t="str">
        <x:v>Customer identifier</x:v>
      </x:c>
      <x:c r="E15" s="30" t="str">
        <x:v>Linked to glossary + asset/column</x:v>
      </x:c>
      <x:c r="F15" s="30" t="str">
        <x:v>Design only</x:v>
      </x:c>
    </x:row>
    <x:row r="16">
      <x:c r="A16" s="30" t="str">
        <x:v>CDE</x:v>
      </x:c>
      <x:c r="B16" s="30" t="str">
        <x:v>account_id</x:v>
      </x:c>
      <x:c r="C16" s="30" t="str">
        <x:v>Elevated governance attention</x:v>
      </x:c>
      <x:c r="D16" s="30" t="str">
        <x:v>Account identifier</x:v>
      </x:c>
      <x:c r="E16" s="30" t="str">
        <x:v>Linked to glossary + asset/column</x:v>
      </x:c>
      <x:c r="F16" s="30" t="str">
        <x:v>Design only</x:v>
      </x:c>
    </x:row>
    <x:row r="17">
      <x:c r="A17" s="30" t="str">
        <x:v>CDE</x:v>
      </x:c>
      <x:c r="B17" s="30" t="str">
        <x:v>transaction_id</x:v>
      </x:c>
      <x:c r="C17" s="30" t="str">
        <x:v>Elevated governance attention</x:v>
      </x:c>
      <x:c r="D17" s="30" t="str">
        <x:v>Transaction identifier</x:v>
      </x:c>
      <x:c r="E17" s="30" t="str">
        <x:v>Linked to glossary + asset/column</x:v>
      </x:c>
      <x:c r="F17" s="30" t="str">
        <x:v>Design only</x:v>
      </x:c>
    </x:row>
    <x:row r="18">
      <x:c r="A18" s="30" t="str">
        <x:v>Classification</x:v>
      </x:c>
      <x:c r="B18" s="30" t="str">
        <x:v>Personal data</x:v>
      </x:c>
      <x:c r="C18" s="30" t="str">
        <x:v>Sensitivity/context</x:v>
      </x:c>
      <x:c r="D18" s="30" t="str">
        <x:v>first_name, last_name, DOB, email, phone</x:v>
      </x:c>
      <x:c r="E18" s="30" t="str">
        <x:v>Applied to relevant columns/assets</x:v>
      </x:c>
      <x:c r="F18" s="30" t="str">
        <x:v>Design only</x:v>
      </x:c>
    </x:row>
    <x:row r="19">
      <x:c r="A19" s="30" t="str">
        <x:v>Classification</x:v>
      </x:c>
      <x:c r="B19" s="30" t="str">
        <x:v>Financial data</x:v>
      </x:c>
      <x:c r="C19" s="30" t="str">
        <x:v>Sensitivity/context</x:v>
      </x:c>
      <x:c r="D19" s="30" t="str">
        <x:v>balance, amount, account identifiers</x:v>
      </x:c>
      <x:c r="E19" s="30" t="str">
        <x:v>Applied to relevant columns/assets</x:v>
      </x:c>
      <x:c r="F19" s="30" t="str">
        <x:v>Design only</x:v>
      </x:c>
    </x:row>
    <x:row r="20">
      <x:c r="A20" s="30" t="str">
        <x:v>Lineage</x:v>
      </x:c>
      <x:c r="B20" s="30" t="str">
        <x:v>RAW → STAGING → CURATED → REPORTING</x:v>
      </x:c>
      <x:c r="C20" s="30" t="str">
        <x:v>Traceability</x:v>
      </x:c>
      <x:c r="D20" s="30" t="str">
        <x:v>Source, transformations, outputs</x:v>
      </x:c>
      <x:c r="E20" s="30" t="str">
        <x:v>Shows upstream/downstream impact</x:v>
      </x:c>
      <x:c r="F20" s="30" t="str">
        <x:v>Designed, not captured live</x:v>
      </x:c>
    </x:row>
  </x:sheetData>
  <x:mergeCells>
    <x:mergeCell ref="A1:F1"/>
    <x:mergeCell ref="A2:F2"/>
  </x:mergeCells>
  <x:pageMargins left="0.7" right="0.7" top="0.75" bottom="0.75" header="0.3" footer="0.3"/>
</x:worksheet>
</file>